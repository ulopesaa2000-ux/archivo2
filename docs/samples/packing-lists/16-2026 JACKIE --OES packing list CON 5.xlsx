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1uriel\dowloads oficina\"/>
    </mc:Choice>
  </mc:AlternateContent>
  <xr:revisionPtr revIDLastSave="0" documentId="13_ncr:1_{EF124E02-B645-4B87-A135-3C9D307F74F7}" xr6:coauthVersionLast="47" xr6:coauthVersionMax="47" xr10:uidLastSave="{00000000-0000-0000-0000-000000000000}"/>
  <bookViews>
    <workbookView xWindow="-103" yWindow="-103" windowWidth="24892" windowHeight="15943" activeTab="5" xr2:uid="{00000000-000D-0000-FFFF-FFFF00000000}"/>
  </bookViews>
  <sheets>
    <sheet name="装箱单" sheetId="1" r:id="rId1"/>
    <sheet name="OE26 01MA" sheetId="6" r:id="rId2"/>
    <sheet name="OE26 02MA" sheetId="7" r:id="rId3"/>
    <sheet name="OE26 03MA" sheetId="9" r:id="rId4"/>
    <sheet name="OE26 O4MV" sheetId="10" r:id="rId5"/>
    <sheet name="OE26 O5MA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8" l="1"/>
  <c r="N11" i="8"/>
  <c r="M11" i="8"/>
  <c r="J11" i="8"/>
  <c r="H11" i="8"/>
  <c r="G10" i="8"/>
  <c r="G9" i="8"/>
  <c r="S8" i="8"/>
  <c r="R8" i="8"/>
  <c r="N8" i="8"/>
  <c r="M8" i="8"/>
  <c r="J8" i="8"/>
  <c r="I8" i="8"/>
  <c r="G8" i="8"/>
  <c r="G7" i="8"/>
  <c r="G6" i="8"/>
  <c r="S5" i="8"/>
  <c r="R5" i="8"/>
  <c r="N5" i="8"/>
  <c r="M5" i="8"/>
  <c r="J5" i="8"/>
  <c r="I5" i="8"/>
  <c r="G5" i="8"/>
  <c r="S11" i="10"/>
  <c r="N11" i="10"/>
  <c r="M11" i="10"/>
  <c r="J11" i="10"/>
  <c r="H11" i="10"/>
  <c r="G10" i="10"/>
  <c r="G9" i="10"/>
  <c r="S8" i="10"/>
  <c r="R8" i="10"/>
  <c r="N8" i="10"/>
  <c r="M8" i="10"/>
  <c r="J8" i="10"/>
  <c r="I8" i="10"/>
  <c r="G8" i="10"/>
  <c r="G7" i="10"/>
  <c r="G6" i="10"/>
  <c r="S5" i="10"/>
  <c r="R5" i="10"/>
  <c r="N5" i="10"/>
  <c r="M5" i="10"/>
  <c r="J5" i="10"/>
  <c r="I5" i="10"/>
  <c r="G5" i="10"/>
  <c r="S9" i="9"/>
  <c r="N9" i="9"/>
  <c r="M9" i="9"/>
  <c r="J9" i="9"/>
  <c r="H9" i="9"/>
  <c r="G8" i="9"/>
  <c r="S7" i="9"/>
  <c r="R7" i="9"/>
  <c r="N7" i="9"/>
  <c r="M7" i="9"/>
  <c r="J7" i="9"/>
  <c r="I7" i="9"/>
  <c r="G7" i="9"/>
  <c r="G6" i="9"/>
  <c r="S5" i="9"/>
  <c r="R5" i="9"/>
  <c r="N5" i="9"/>
  <c r="M5" i="9"/>
  <c r="J5" i="9"/>
  <c r="I5" i="9"/>
  <c r="G5" i="9"/>
  <c r="S11" i="7"/>
  <c r="N11" i="7"/>
  <c r="M11" i="7"/>
  <c r="J11" i="7"/>
  <c r="H11" i="7"/>
  <c r="G10" i="7"/>
  <c r="G9" i="7"/>
  <c r="S8" i="7"/>
  <c r="R8" i="7"/>
  <c r="N8" i="7"/>
  <c r="M8" i="7"/>
  <c r="J8" i="7"/>
  <c r="I8" i="7"/>
  <c r="G8" i="7"/>
  <c r="G7" i="7"/>
  <c r="G6" i="7"/>
  <c r="S5" i="7"/>
  <c r="R5" i="7"/>
  <c r="N5" i="7"/>
  <c r="M5" i="7"/>
  <c r="J5" i="7"/>
  <c r="I5" i="7"/>
  <c r="G5" i="7"/>
  <c r="S11" i="6"/>
  <c r="N11" i="6"/>
  <c r="M11" i="6"/>
  <c r="J11" i="6"/>
  <c r="H11" i="6"/>
  <c r="G10" i="6"/>
  <c r="G9" i="6"/>
  <c r="S8" i="6"/>
  <c r="R8" i="6"/>
  <c r="N8" i="6"/>
  <c r="M8" i="6"/>
  <c r="J8" i="6"/>
  <c r="I8" i="6"/>
  <c r="G8" i="6"/>
  <c r="G7" i="6"/>
  <c r="G6" i="6"/>
  <c r="S5" i="6"/>
  <c r="R5" i="6"/>
  <c r="N5" i="6"/>
  <c r="M5" i="6"/>
  <c r="J5" i="6"/>
  <c r="I5" i="6"/>
  <c r="G5" i="6"/>
  <c r="W14" i="1"/>
  <c r="U14" i="1"/>
  <c r="P14" i="1"/>
  <c r="O14" i="1"/>
  <c r="L14" i="1"/>
  <c r="K14" i="1"/>
  <c r="I14" i="1"/>
  <c r="U13" i="1"/>
  <c r="T13" i="1"/>
  <c r="P13" i="1"/>
  <c r="O13" i="1"/>
  <c r="K13" i="1"/>
  <c r="W12" i="1"/>
  <c r="U12" i="1"/>
  <c r="T12" i="1"/>
  <c r="P12" i="1"/>
  <c r="O12" i="1"/>
  <c r="L12" i="1"/>
  <c r="K12" i="1"/>
  <c r="U11" i="1"/>
  <c r="T11" i="1"/>
  <c r="P11" i="1"/>
  <c r="O11" i="1"/>
  <c r="K11" i="1"/>
  <c r="W10" i="1"/>
  <c r="U10" i="1"/>
  <c r="T10" i="1"/>
  <c r="P10" i="1"/>
  <c r="O10" i="1"/>
  <c r="L10" i="1"/>
  <c r="K10" i="1"/>
  <c r="U9" i="1"/>
  <c r="T9" i="1"/>
  <c r="P9" i="1"/>
  <c r="O9" i="1"/>
  <c r="K9" i="1"/>
  <c r="W8" i="1"/>
  <c r="U8" i="1"/>
  <c r="T8" i="1"/>
  <c r="P8" i="1"/>
  <c r="O8" i="1"/>
  <c r="L8" i="1"/>
  <c r="K8" i="1"/>
  <c r="U7" i="1"/>
  <c r="T7" i="1"/>
  <c r="P7" i="1"/>
  <c r="O7" i="1"/>
  <c r="K7" i="1"/>
  <c r="W6" i="1"/>
  <c r="U6" i="1"/>
  <c r="T6" i="1"/>
  <c r="P6" i="1"/>
  <c r="O6" i="1"/>
  <c r="L6" i="1"/>
  <c r="K6" i="1"/>
  <c r="U5" i="1"/>
  <c r="T5" i="1"/>
  <c r="P5" i="1"/>
  <c r="O5" i="1"/>
  <c r="K5" i="1"/>
  <c r="W4" i="1"/>
  <c r="U4" i="1"/>
  <c r="T4" i="1"/>
  <c r="P4" i="1"/>
  <c r="O4" i="1"/>
  <c r="L4" i="1"/>
  <c r="K4" i="1"/>
</calcChain>
</file>

<file path=xl/sharedStrings.xml><?xml version="1.0" encoding="utf-8"?>
<sst xmlns="http://schemas.openxmlformats.org/spreadsheetml/2006/main" count="328" uniqueCount="93">
  <si>
    <t>Packing List</t>
  </si>
  <si>
    <r>
      <rPr>
        <sz val="12"/>
        <color theme="1"/>
        <rFont val="宋体"/>
        <charset val="134"/>
      </rPr>
      <t>供应商</t>
    </r>
  </si>
  <si>
    <r>
      <rPr>
        <sz val="12"/>
        <rFont val="宋体"/>
        <charset val="134"/>
      </rPr>
      <t>唛头</t>
    </r>
  </si>
  <si>
    <r>
      <rPr>
        <sz val="12"/>
        <rFont val="宋体"/>
        <charset val="134"/>
      </rPr>
      <t>英文成份</t>
    </r>
  </si>
  <si>
    <r>
      <rPr>
        <sz val="12"/>
        <rFont val="宋体"/>
        <charset val="134"/>
      </rPr>
      <t>款号</t>
    </r>
  </si>
  <si>
    <r>
      <rPr>
        <sz val="12"/>
        <rFont val="宋体"/>
        <charset val="134"/>
      </rPr>
      <t>西班牙文品名</t>
    </r>
  </si>
  <si>
    <r>
      <rPr>
        <sz val="12"/>
        <rFont val="宋体"/>
        <charset val="134"/>
      </rPr>
      <t>中文品名</t>
    </r>
  </si>
  <si>
    <r>
      <rPr>
        <sz val="12"/>
        <rFont val="宋体"/>
        <charset val="134"/>
      </rPr>
      <t>英文品名</t>
    </r>
  </si>
  <si>
    <r>
      <rPr>
        <sz val="12"/>
        <rFont val="宋体"/>
        <charset val="134"/>
      </rPr>
      <t>箱号</t>
    </r>
  </si>
  <si>
    <r>
      <rPr>
        <sz val="12"/>
        <rFont val="宋体"/>
        <charset val="134"/>
      </rPr>
      <t>箱数</t>
    </r>
  </si>
  <si>
    <r>
      <rPr>
        <sz val="12"/>
        <rFont val="宋体"/>
        <charset val="134"/>
      </rPr>
      <t>件</t>
    </r>
    <r>
      <rPr>
        <sz val="12"/>
        <rFont val="Arial"/>
        <family val="2"/>
      </rPr>
      <t>/</t>
    </r>
    <r>
      <rPr>
        <sz val="12"/>
        <rFont val="宋体"/>
        <charset val="134"/>
      </rPr>
      <t>箱</t>
    </r>
  </si>
  <si>
    <t>件数</t>
  </si>
  <si>
    <t>总件数</t>
  </si>
  <si>
    <r>
      <rPr>
        <sz val="12"/>
        <rFont val="宋体"/>
        <charset val="134"/>
      </rPr>
      <t>毛重</t>
    </r>
    <r>
      <rPr>
        <sz val="12"/>
        <rFont val="Arial"/>
        <family val="2"/>
      </rPr>
      <t>kg</t>
    </r>
  </si>
  <si>
    <r>
      <rPr>
        <sz val="12"/>
        <rFont val="宋体"/>
        <charset val="134"/>
      </rPr>
      <t>净重</t>
    </r>
    <r>
      <rPr>
        <sz val="12"/>
        <rFont val="Arial"/>
        <family val="2"/>
      </rPr>
      <t>kg</t>
    </r>
  </si>
  <si>
    <r>
      <rPr>
        <sz val="12"/>
        <rFont val="宋体"/>
        <charset val="134"/>
      </rPr>
      <t>总毛重</t>
    </r>
    <r>
      <rPr>
        <sz val="12"/>
        <rFont val="Arial"/>
        <family val="2"/>
      </rPr>
      <t>kg</t>
    </r>
  </si>
  <si>
    <r>
      <rPr>
        <sz val="12"/>
        <rFont val="宋体"/>
        <charset val="134"/>
      </rPr>
      <t>总净重</t>
    </r>
    <r>
      <rPr>
        <sz val="12"/>
        <rFont val="Arial"/>
        <family val="2"/>
      </rPr>
      <t>kg</t>
    </r>
  </si>
  <si>
    <r>
      <rPr>
        <sz val="12"/>
        <rFont val="宋体"/>
        <charset val="134"/>
      </rPr>
      <t>箱规（</t>
    </r>
    <r>
      <rPr>
        <sz val="12"/>
        <rFont val="Arial"/>
        <family val="2"/>
      </rPr>
      <t>cm</t>
    </r>
    <r>
      <rPr>
        <sz val="12"/>
        <rFont val="宋体"/>
        <charset val="134"/>
      </rPr>
      <t>）</t>
    </r>
  </si>
  <si>
    <r>
      <rPr>
        <sz val="12"/>
        <rFont val="宋体"/>
        <charset val="134"/>
      </rPr>
      <t>每箱立方</t>
    </r>
    <r>
      <rPr>
        <sz val="12"/>
        <rFont val="Arial"/>
        <family val="2"/>
      </rPr>
      <t xml:space="preserve"> m³</t>
    </r>
  </si>
  <si>
    <r>
      <rPr>
        <sz val="12"/>
        <rFont val="宋体"/>
        <charset val="134"/>
      </rPr>
      <t>立方</t>
    </r>
    <r>
      <rPr>
        <sz val="12"/>
        <rFont val="Arial"/>
        <family val="2"/>
      </rPr>
      <t xml:space="preserve"> m³</t>
    </r>
  </si>
  <si>
    <t>单价</t>
  </si>
  <si>
    <t>总价</t>
  </si>
  <si>
    <t>Supplier</t>
  </si>
  <si>
    <t>Brand</t>
  </si>
  <si>
    <t>Composition</t>
  </si>
  <si>
    <t>Style No.</t>
  </si>
  <si>
    <t>Item</t>
  </si>
  <si>
    <t>Ctn No.</t>
  </si>
  <si>
    <t>Ctns</t>
  </si>
  <si>
    <t>pc/ctn</t>
  </si>
  <si>
    <t>qty</t>
  </si>
  <si>
    <t>total qty</t>
  </si>
  <si>
    <t>G.W</t>
  </si>
  <si>
    <t>N.W</t>
  </si>
  <si>
    <t>TOTAL 
G.W</t>
  </si>
  <si>
    <t>TOTAL
N.W</t>
  </si>
  <si>
    <t>means(cm)</t>
  </si>
  <si>
    <t>cbm / ctn</t>
  </si>
  <si>
    <t>CBM</t>
  </si>
  <si>
    <t>Price</t>
  </si>
  <si>
    <t>Amount</t>
  </si>
  <si>
    <t>OES</t>
  </si>
  <si>
    <t xml:space="preserve">IDOL NAVY </t>
  </si>
  <si>
    <t>100%POLYESTER</t>
  </si>
  <si>
    <t>OE26/01MA</t>
  </si>
  <si>
    <t>LADY  FUR JACKET</t>
  </si>
  <si>
    <t>女士梭织外套</t>
  </si>
  <si>
    <t>woman's coat</t>
  </si>
  <si>
    <t>1--9</t>
  </si>
  <si>
    <t>OE26/02MA</t>
  </si>
  <si>
    <t>1--12</t>
  </si>
  <si>
    <t>OE26/03MA</t>
  </si>
  <si>
    <t>OE26/04MV</t>
  </si>
  <si>
    <t>LADY  FUR VEST</t>
  </si>
  <si>
    <t>女士梭织马夹</t>
  </si>
  <si>
    <t>woman's vest</t>
  </si>
  <si>
    <t>1--11</t>
  </si>
  <si>
    <t>OE26/05MA</t>
  </si>
  <si>
    <t>TOTAL</t>
  </si>
  <si>
    <t xml:space="preserve">Packing list </t>
  </si>
  <si>
    <r>
      <rPr>
        <sz val="12"/>
        <rFont val="宋体"/>
        <charset val="134"/>
      </rPr>
      <t>颜色</t>
    </r>
  </si>
  <si>
    <r>
      <rPr>
        <sz val="12"/>
        <rFont val="宋体"/>
        <charset val="134"/>
      </rPr>
      <t>规格</t>
    </r>
  </si>
  <si>
    <r>
      <rPr>
        <sz val="12"/>
        <rFont val="宋体"/>
        <charset val="134"/>
      </rPr>
      <t>件数</t>
    </r>
  </si>
  <si>
    <r>
      <rPr>
        <sz val="12"/>
        <rFont val="宋体"/>
        <charset val="134"/>
      </rPr>
      <t>总件数</t>
    </r>
  </si>
  <si>
    <r>
      <rPr>
        <sz val="12"/>
        <rFont val="宋体"/>
        <charset val="134"/>
      </rPr>
      <t>箱规</t>
    </r>
    <r>
      <rPr>
        <sz val="12"/>
        <rFont val="宋体"/>
        <charset val="134"/>
      </rPr>
      <t>（</t>
    </r>
    <r>
      <rPr>
        <sz val="12"/>
        <rFont val="Arial"/>
        <family val="2"/>
      </rPr>
      <t>cm</t>
    </r>
    <r>
      <rPr>
        <sz val="12"/>
        <rFont val="宋体"/>
        <charset val="134"/>
      </rPr>
      <t>）</t>
    </r>
  </si>
  <si>
    <t>style No.</t>
  </si>
  <si>
    <t>ctn No.</t>
  </si>
  <si>
    <t>color</t>
  </si>
  <si>
    <t>SIZE</t>
  </si>
  <si>
    <t>pcs</t>
  </si>
  <si>
    <t>ctns</t>
  </si>
  <si>
    <t>total pcs</t>
  </si>
  <si>
    <t>Total 
G.W</t>
  </si>
  <si>
    <t>Total
N.W</t>
  </si>
  <si>
    <t>MEANS(cm)</t>
  </si>
  <si>
    <t>cbm/ctn</t>
  </si>
  <si>
    <t>CH</t>
  </si>
  <si>
    <t>M</t>
  </si>
  <si>
    <t>G</t>
  </si>
  <si>
    <t>BLACK</t>
  </si>
  <si>
    <t>DK BEIGE</t>
  </si>
  <si>
    <t>CAMEL</t>
  </si>
  <si>
    <t>衣服图片</t>
  </si>
  <si>
    <t>主标和吊牌</t>
  </si>
  <si>
    <r>
      <rPr>
        <sz val="12"/>
        <rFont val="宋体"/>
        <charset val="134"/>
      </rPr>
      <t>洗水标</t>
    </r>
  </si>
  <si>
    <t>箱唛</t>
  </si>
  <si>
    <t>（这张不用改）</t>
  </si>
  <si>
    <t>（可以截图电子版）</t>
  </si>
  <si>
    <t>OFF WHITE</t>
  </si>
  <si>
    <t>LT BEIGE</t>
  </si>
  <si>
    <t>LT COFFEE</t>
  </si>
  <si>
    <t>BEIGE</t>
  </si>
  <si>
    <t>LT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</si>
</sst>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_);[Red]\(0.00\)"/>
    <numFmt numFmtId="165" formatCode="\¥#,##0.00_);\(\¥#,##0.00\)"/>
    <numFmt numFmtId="166" formatCode="yyyy&quot;年&quot;m&quot;月&quot;d&quot;日&quot;;@"/>
  </numFmts>
  <fonts count="10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name val="宋体"/>
      <charset val="134"/>
    </font>
    <font>
      <sz val="12"/>
      <color theme="1"/>
      <name val="宋体"/>
      <charset val="134"/>
    </font>
    <font>
      <sz val="12"/>
      <color theme="1"/>
      <name val="Calibri"/>
      <charset val="134"/>
      <scheme val="minor"/>
    </font>
    <font>
      <sz val="12"/>
      <name val="微软雅黑"/>
      <charset val="134"/>
    </font>
    <font>
      <b/>
      <sz val="12"/>
      <color theme="1"/>
      <name val="Calibri"/>
      <charset val="134"/>
      <scheme val="minor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49" fontId="2" fillId="0" borderId="1" xfId="2" applyNumberFormat="1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 wrapText="1"/>
    </xf>
    <xf numFmtId="0" fontId="2" fillId="0" borderId="4" xfId="2" applyFont="1" applyBorder="1" applyAlignment="1">
      <alignment horizontal="center" vertical="center" wrapText="1"/>
    </xf>
    <xf numFmtId="0" fontId="4" fillId="0" borderId="1" xfId="2" applyBorder="1" applyAlignment="1">
      <alignment horizontal="center" vertical="center"/>
    </xf>
    <xf numFmtId="164" fontId="2" fillId="0" borderId="1" xfId="2" applyNumberFormat="1" applyFont="1" applyBorder="1" applyAlignment="1">
      <alignment horizontal="center" vertical="center"/>
    </xf>
    <xf numFmtId="165" fontId="4" fillId="0" borderId="1" xfId="2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6" fontId="2" fillId="0" borderId="1" xfId="2" applyNumberFormat="1" applyFont="1" applyBorder="1" applyAlignment="1">
      <alignment horizontal="center" vertical="center"/>
    </xf>
    <xf numFmtId="165" fontId="2" fillId="0" borderId="1" xfId="2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7" fillId="0" borderId="11" xfId="0" applyNumberFormat="1" applyFont="1" applyBorder="1" applyAlignment="1">
      <alignment horizontal="center" vertical="center"/>
    </xf>
    <xf numFmtId="165" fontId="7" fillId="0" borderId="1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2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3">
    <cellStyle name="Normal" xfId="0" builtinId="0"/>
    <cellStyle name="Normal 3" xfId="1" xr:uid="{00000000-0005-0000-0000-000031000000}"/>
    <cellStyle name="常规_packing " xfId="2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16</xdr:col>
      <xdr:colOff>219075</xdr:colOff>
      <xdr:row>0</xdr:row>
      <xdr:rowOff>10160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49530" y="0"/>
          <a:ext cx="2314575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0</xdr:row>
      <xdr:rowOff>0</xdr:rowOff>
    </xdr:from>
    <xdr:to>
      <xdr:col>13</xdr:col>
      <xdr:colOff>219075</xdr:colOff>
      <xdr:row>0</xdr:row>
      <xdr:rowOff>10160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9865" y="0"/>
          <a:ext cx="2152650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0</xdr:row>
      <xdr:rowOff>0</xdr:rowOff>
    </xdr:from>
    <xdr:to>
      <xdr:col>13</xdr:col>
      <xdr:colOff>219075</xdr:colOff>
      <xdr:row>0</xdr:row>
      <xdr:rowOff>10160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9865" y="0"/>
          <a:ext cx="2152650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0</xdr:row>
      <xdr:rowOff>0</xdr:rowOff>
    </xdr:from>
    <xdr:to>
      <xdr:col>13</xdr:col>
      <xdr:colOff>219075</xdr:colOff>
      <xdr:row>0</xdr:row>
      <xdr:rowOff>10160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9865" y="0"/>
          <a:ext cx="2152650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0</xdr:row>
      <xdr:rowOff>0</xdr:rowOff>
    </xdr:from>
    <xdr:to>
      <xdr:col>13</xdr:col>
      <xdr:colOff>219075</xdr:colOff>
      <xdr:row>0</xdr:row>
      <xdr:rowOff>10160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9865" y="0"/>
          <a:ext cx="2152650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0</xdr:row>
      <xdr:rowOff>0</xdr:rowOff>
    </xdr:from>
    <xdr:to>
      <xdr:col>13</xdr:col>
      <xdr:colOff>219075</xdr:colOff>
      <xdr:row>0</xdr:row>
      <xdr:rowOff>10160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9865" y="0"/>
          <a:ext cx="2152650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8"/>
  <sheetViews>
    <sheetView zoomScale="101" zoomScaleNormal="101" workbookViewId="0">
      <selection activeCell="D12" sqref="D12:D13"/>
    </sheetView>
  </sheetViews>
  <sheetFormatPr baseColWidth="10" defaultColWidth="8.84375" defaultRowHeight="15.9"/>
  <cols>
    <col min="1" max="2" width="21.07421875" style="18" customWidth="1"/>
    <col min="3" max="3" width="19.53515625" style="17" customWidth="1"/>
    <col min="4" max="4" width="14.23046875" style="17" customWidth="1"/>
    <col min="5" max="5" width="14.07421875" style="17" customWidth="1"/>
    <col min="6" max="6" width="15.23046875" style="17" customWidth="1"/>
    <col min="7" max="7" width="17.23046875" style="17" customWidth="1"/>
    <col min="8" max="8" width="10.4609375" style="17" customWidth="1"/>
    <col min="9" max="9" width="10.3046875" style="17" customWidth="1"/>
    <col min="10" max="10" width="8.84375" style="18"/>
    <col min="11" max="11" width="8.84375" style="17"/>
    <col min="12" max="12" width="8.84375" style="17" customWidth="1"/>
    <col min="13" max="14" width="8.84375" style="17"/>
    <col min="15" max="15" width="10.3046875" style="17" customWidth="1"/>
    <col min="16" max="16" width="10.4609375" style="17" customWidth="1"/>
    <col min="17" max="19" width="8.84375" style="17"/>
    <col min="20" max="20" width="12.4609375" style="17" customWidth="1"/>
    <col min="21" max="21" width="10.23046875" style="17" customWidth="1"/>
    <col min="22" max="22" width="19.84375" style="17" customWidth="1"/>
    <col min="23" max="23" width="21.84375" style="18" customWidth="1"/>
    <col min="24" max="16384" width="8.84375" style="17"/>
  </cols>
  <sheetData>
    <row r="1" spans="1:23" s="7" customFormat="1" ht="39" customHeight="1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4"/>
    </row>
    <row r="2" spans="1:23" s="7" customFormat="1" ht="31.1" customHeight="1">
      <c r="A2" s="5" t="s">
        <v>1</v>
      </c>
      <c r="B2" s="19" t="s">
        <v>2</v>
      </c>
      <c r="C2" s="19" t="s">
        <v>3</v>
      </c>
      <c r="D2" s="19" t="s">
        <v>4</v>
      </c>
      <c r="E2" s="19" t="s">
        <v>5</v>
      </c>
      <c r="F2" s="19" t="s">
        <v>6</v>
      </c>
      <c r="G2" s="19" t="s">
        <v>7</v>
      </c>
      <c r="H2" s="20" t="s">
        <v>8</v>
      </c>
      <c r="I2" s="21" t="s">
        <v>9</v>
      </c>
      <c r="J2" s="22" t="s">
        <v>10</v>
      </c>
      <c r="K2" s="23" t="s">
        <v>11</v>
      </c>
      <c r="L2" s="23" t="s">
        <v>12</v>
      </c>
      <c r="M2" s="19" t="s">
        <v>13</v>
      </c>
      <c r="N2" s="19" t="s">
        <v>14</v>
      </c>
      <c r="O2" s="19" t="s">
        <v>15</v>
      </c>
      <c r="P2" s="19" t="s">
        <v>16</v>
      </c>
      <c r="Q2" s="65" t="s">
        <v>17</v>
      </c>
      <c r="R2" s="65"/>
      <c r="S2" s="65"/>
      <c r="T2" s="19" t="s">
        <v>18</v>
      </c>
      <c r="U2" s="24" t="s">
        <v>19</v>
      </c>
      <c r="V2" s="25" t="s">
        <v>20</v>
      </c>
      <c r="W2" s="26" t="s">
        <v>21</v>
      </c>
    </row>
    <row r="3" spans="1:23" s="7" customFormat="1" ht="26.6" customHeight="1">
      <c r="A3" s="5" t="s">
        <v>22</v>
      </c>
      <c r="B3" s="19" t="s">
        <v>23</v>
      </c>
      <c r="C3" s="21" t="s">
        <v>24</v>
      </c>
      <c r="D3" s="19" t="s">
        <v>25</v>
      </c>
      <c r="E3" s="3" t="s">
        <v>26</v>
      </c>
      <c r="F3" s="3" t="s">
        <v>26</v>
      </c>
      <c r="G3" s="3" t="s">
        <v>26</v>
      </c>
      <c r="H3" s="20" t="s">
        <v>27</v>
      </c>
      <c r="I3" s="21" t="s">
        <v>28</v>
      </c>
      <c r="J3" s="22" t="s">
        <v>29</v>
      </c>
      <c r="K3" s="19" t="s">
        <v>30</v>
      </c>
      <c r="L3" s="19" t="s">
        <v>31</v>
      </c>
      <c r="M3" s="19" t="s">
        <v>32</v>
      </c>
      <c r="N3" s="19" t="s">
        <v>33</v>
      </c>
      <c r="O3" s="21" t="s">
        <v>34</v>
      </c>
      <c r="P3" s="21" t="s">
        <v>35</v>
      </c>
      <c r="Q3" s="65" t="s">
        <v>36</v>
      </c>
      <c r="R3" s="65"/>
      <c r="S3" s="65"/>
      <c r="T3" s="19" t="s">
        <v>37</v>
      </c>
      <c r="U3" s="27" t="s">
        <v>38</v>
      </c>
      <c r="V3" s="28" t="s">
        <v>39</v>
      </c>
      <c r="W3" s="5" t="s">
        <v>40</v>
      </c>
    </row>
    <row r="4" spans="1:23" s="7" customFormat="1" ht="22.95" customHeight="1">
      <c r="A4" s="62" t="s">
        <v>41</v>
      </c>
      <c r="B4" s="44" t="s">
        <v>42</v>
      </c>
      <c r="C4" s="44" t="s">
        <v>43</v>
      </c>
      <c r="D4" s="41" t="s">
        <v>44</v>
      </c>
      <c r="E4" s="44" t="s">
        <v>45</v>
      </c>
      <c r="F4" s="59" t="s">
        <v>46</v>
      </c>
      <c r="G4" s="45" t="s">
        <v>47</v>
      </c>
      <c r="H4" s="29" t="s">
        <v>48</v>
      </c>
      <c r="I4" s="5">
        <v>9</v>
      </c>
      <c r="J4" s="6">
        <v>30</v>
      </c>
      <c r="K4" s="5">
        <f>I4*J4</f>
        <v>270</v>
      </c>
      <c r="L4" s="41">
        <f>K4+K5</f>
        <v>298</v>
      </c>
      <c r="M4" s="5">
        <v>31</v>
      </c>
      <c r="N4" s="5">
        <v>30</v>
      </c>
      <c r="O4" s="5">
        <f>M4*I4</f>
        <v>279</v>
      </c>
      <c r="P4" s="5">
        <f>N4*I4</f>
        <v>270</v>
      </c>
      <c r="Q4" s="5">
        <v>70</v>
      </c>
      <c r="R4" s="5">
        <v>50</v>
      </c>
      <c r="S4" s="5">
        <v>50</v>
      </c>
      <c r="T4" s="5">
        <f>Q4*R4*S4*0.000001</f>
        <v>0.17499999999999999</v>
      </c>
      <c r="U4" s="5">
        <f>I4*T4</f>
        <v>1.575</v>
      </c>
      <c r="V4" s="56">
        <v>78</v>
      </c>
      <c r="W4" s="56">
        <f>L4*V4</f>
        <v>23244</v>
      </c>
    </row>
    <row r="5" spans="1:23" s="7" customFormat="1" ht="22.95" customHeight="1">
      <c r="A5" s="66"/>
      <c r="B5" s="44"/>
      <c r="C5" s="44"/>
      <c r="D5" s="41"/>
      <c r="E5" s="44"/>
      <c r="F5" s="45"/>
      <c r="G5" s="45"/>
      <c r="H5" s="30">
        <v>10</v>
      </c>
      <c r="I5" s="5">
        <v>1</v>
      </c>
      <c r="J5" s="6">
        <v>28</v>
      </c>
      <c r="K5" s="5">
        <f t="shared" ref="K5:K6" si="0">I5*J5</f>
        <v>28</v>
      </c>
      <c r="L5" s="41"/>
      <c r="M5" s="5">
        <v>26</v>
      </c>
      <c r="N5" s="5">
        <v>25</v>
      </c>
      <c r="O5" s="5">
        <f t="shared" ref="O5:O6" si="1">M5*I5</f>
        <v>26</v>
      </c>
      <c r="P5" s="5">
        <f t="shared" ref="P5:P7" si="2">N5*I5</f>
        <v>25</v>
      </c>
      <c r="Q5" s="5">
        <v>70</v>
      </c>
      <c r="R5" s="5">
        <v>50</v>
      </c>
      <c r="S5" s="5">
        <v>50</v>
      </c>
      <c r="T5" s="5">
        <f t="shared" ref="T5:T13" si="3">Q5*R5*S5*0.000001</f>
        <v>0.17499999999999999</v>
      </c>
      <c r="U5" s="5">
        <f t="shared" ref="U5:U13" si="4">I5*T5</f>
        <v>0.17499999999999999</v>
      </c>
      <c r="V5" s="56"/>
      <c r="W5" s="56"/>
    </row>
    <row r="6" spans="1:23" s="7" customFormat="1" ht="22.95" customHeight="1">
      <c r="A6" s="66"/>
      <c r="B6" s="44" t="s">
        <v>42</v>
      </c>
      <c r="C6" s="44" t="s">
        <v>43</v>
      </c>
      <c r="D6" s="62" t="s">
        <v>49</v>
      </c>
      <c r="E6" s="44" t="s">
        <v>45</v>
      </c>
      <c r="F6" s="59" t="s">
        <v>46</v>
      </c>
      <c r="G6" s="45" t="s">
        <v>47</v>
      </c>
      <c r="H6" s="29" t="s">
        <v>50</v>
      </c>
      <c r="I6" s="5">
        <v>12</v>
      </c>
      <c r="J6" s="6">
        <v>30</v>
      </c>
      <c r="K6" s="5">
        <f t="shared" si="0"/>
        <v>360</v>
      </c>
      <c r="L6" s="41">
        <f>K6+K7</f>
        <v>380</v>
      </c>
      <c r="M6" s="5">
        <v>23</v>
      </c>
      <c r="N6" s="5">
        <v>22</v>
      </c>
      <c r="O6" s="5">
        <f t="shared" si="1"/>
        <v>276</v>
      </c>
      <c r="P6" s="5">
        <f t="shared" si="2"/>
        <v>264</v>
      </c>
      <c r="Q6" s="5">
        <v>70</v>
      </c>
      <c r="R6" s="5">
        <v>50</v>
      </c>
      <c r="S6" s="5">
        <v>50</v>
      </c>
      <c r="T6" s="5">
        <f t="shared" si="3"/>
        <v>0.17499999999999999</v>
      </c>
      <c r="U6" s="5">
        <f t="shared" si="4"/>
        <v>2.1</v>
      </c>
      <c r="V6" s="57">
        <v>78</v>
      </c>
      <c r="W6" s="56">
        <f t="shared" ref="W6" si="5">L6*V6</f>
        <v>29640</v>
      </c>
    </row>
    <row r="7" spans="1:23" s="7" customFormat="1" ht="22.95" customHeight="1">
      <c r="A7" s="66"/>
      <c r="B7" s="44"/>
      <c r="C7" s="44"/>
      <c r="D7" s="61"/>
      <c r="E7" s="44"/>
      <c r="F7" s="45"/>
      <c r="G7" s="45"/>
      <c r="H7" s="5">
        <v>13</v>
      </c>
      <c r="I7" s="5">
        <v>1</v>
      </c>
      <c r="J7" s="6">
        <v>20</v>
      </c>
      <c r="K7" s="5">
        <f t="shared" ref="K7:K13" si="6">I7*J7</f>
        <v>20</v>
      </c>
      <c r="L7" s="41"/>
      <c r="M7" s="5">
        <v>16</v>
      </c>
      <c r="N7" s="5">
        <v>15</v>
      </c>
      <c r="O7" s="5">
        <f t="shared" ref="O7:O13" si="7">M7*I7</f>
        <v>16</v>
      </c>
      <c r="P7" s="5">
        <f t="shared" si="2"/>
        <v>15</v>
      </c>
      <c r="Q7" s="5">
        <v>70</v>
      </c>
      <c r="R7" s="5">
        <v>50</v>
      </c>
      <c r="S7" s="5">
        <v>50</v>
      </c>
      <c r="T7" s="5">
        <f t="shared" si="3"/>
        <v>0.17499999999999999</v>
      </c>
      <c r="U7" s="5">
        <f t="shared" si="4"/>
        <v>0.17499999999999999</v>
      </c>
      <c r="V7" s="58"/>
      <c r="W7" s="56"/>
    </row>
    <row r="8" spans="1:23" s="7" customFormat="1" ht="22.95" customHeight="1">
      <c r="A8" s="66"/>
      <c r="B8" s="44" t="s">
        <v>42</v>
      </c>
      <c r="C8" s="44" t="s">
        <v>43</v>
      </c>
      <c r="D8" s="62" t="s">
        <v>51</v>
      </c>
      <c r="E8" s="44" t="s">
        <v>45</v>
      </c>
      <c r="F8" s="59" t="s">
        <v>46</v>
      </c>
      <c r="G8" s="45" t="s">
        <v>47</v>
      </c>
      <c r="H8" s="29" t="s">
        <v>50</v>
      </c>
      <c r="I8" s="5">
        <v>12</v>
      </c>
      <c r="J8" s="6">
        <v>30</v>
      </c>
      <c r="K8" s="5">
        <f t="shared" si="6"/>
        <v>360</v>
      </c>
      <c r="L8" s="41">
        <f>K8+K9</f>
        <v>370</v>
      </c>
      <c r="M8" s="5">
        <v>28</v>
      </c>
      <c r="N8" s="5">
        <v>27</v>
      </c>
      <c r="O8" s="5">
        <f t="shared" si="7"/>
        <v>336</v>
      </c>
      <c r="P8" s="5">
        <f t="shared" ref="P8:P13" si="8">N8*I8</f>
        <v>324</v>
      </c>
      <c r="Q8" s="5">
        <v>70</v>
      </c>
      <c r="R8" s="5">
        <v>50</v>
      </c>
      <c r="S8" s="5">
        <v>50</v>
      </c>
      <c r="T8" s="5">
        <f t="shared" si="3"/>
        <v>0.17499999999999999</v>
      </c>
      <c r="U8" s="5">
        <f t="shared" si="4"/>
        <v>2.1</v>
      </c>
      <c r="V8" s="57">
        <v>85</v>
      </c>
      <c r="W8" s="56">
        <f>L8*V8</f>
        <v>31450</v>
      </c>
    </row>
    <row r="9" spans="1:23" s="7" customFormat="1" ht="22.95" customHeight="1">
      <c r="A9" s="66"/>
      <c r="B9" s="44"/>
      <c r="C9" s="44"/>
      <c r="D9" s="61"/>
      <c r="E9" s="44"/>
      <c r="F9" s="45"/>
      <c r="G9" s="45"/>
      <c r="H9" s="5">
        <v>13</v>
      </c>
      <c r="I9" s="5">
        <v>1</v>
      </c>
      <c r="J9" s="6">
        <v>10</v>
      </c>
      <c r="K9" s="5">
        <f t="shared" si="6"/>
        <v>10</v>
      </c>
      <c r="L9" s="41"/>
      <c r="M9" s="5">
        <v>10</v>
      </c>
      <c r="N9" s="5">
        <v>9</v>
      </c>
      <c r="O9" s="5">
        <f t="shared" si="7"/>
        <v>10</v>
      </c>
      <c r="P9" s="5">
        <f t="shared" si="8"/>
        <v>9</v>
      </c>
      <c r="Q9" s="5">
        <v>70</v>
      </c>
      <c r="R9" s="5">
        <v>50</v>
      </c>
      <c r="S9" s="5">
        <v>50</v>
      </c>
      <c r="T9" s="5">
        <f t="shared" si="3"/>
        <v>0.17499999999999999</v>
      </c>
      <c r="U9" s="5">
        <f t="shared" si="4"/>
        <v>0.17499999999999999</v>
      </c>
      <c r="V9" s="58"/>
      <c r="W9" s="56"/>
    </row>
    <row r="10" spans="1:23" s="7" customFormat="1" ht="22.95" customHeight="1">
      <c r="A10" s="66"/>
      <c r="B10" s="44" t="s">
        <v>42</v>
      </c>
      <c r="C10" s="44" t="s">
        <v>43</v>
      </c>
      <c r="D10" s="62" t="s">
        <v>52</v>
      </c>
      <c r="E10" s="44" t="s">
        <v>53</v>
      </c>
      <c r="F10" s="60" t="s">
        <v>54</v>
      </c>
      <c r="G10" s="45" t="s">
        <v>55</v>
      </c>
      <c r="H10" s="5" t="s">
        <v>56</v>
      </c>
      <c r="I10" s="5">
        <v>11</v>
      </c>
      <c r="J10" s="6">
        <v>30</v>
      </c>
      <c r="K10" s="5">
        <f t="shared" si="6"/>
        <v>330</v>
      </c>
      <c r="L10" s="41">
        <f t="shared" ref="L10" si="9">K10+K11</f>
        <v>358</v>
      </c>
      <c r="M10" s="5">
        <v>20</v>
      </c>
      <c r="N10" s="5">
        <v>19</v>
      </c>
      <c r="O10" s="5">
        <f t="shared" si="7"/>
        <v>220</v>
      </c>
      <c r="P10" s="5">
        <f t="shared" si="8"/>
        <v>209</v>
      </c>
      <c r="Q10" s="5">
        <v>60</v>
      </c>
      <c r="R10" s="5">
        <v>50</v>
      </c>
      <c r="S10" s="5">
        <v>50</v>
      </c>
      <c r="T10" s="5">
        <f t="shared" si="3"/>
        <v>0.15</v>
      </c>
      <c r="U10" s="5">
        <f t="shared" si="4"/>
        <v>1.65</v>
      </c>
      <c r="V10" s="57">
        <v>55</v>
      </c>
      <c r="W10" s="56">
        <f t="shared" ref="W10" si="10">L10*V10</f>
        <v>19690</v>
      </c>
    </row>
    <row r="11" spans="1:23" s="7" customFormat="1" ht="22.95" customHeight="1">
      <c r="A11" s="66"/>
      <c r="B11" s="44"/>
      <c r="C11" s="44"/>
      <c r="D11" s="61"/>
      <c r="E11" s="44"/>
      <c r="F11" s="61"/>
      <c r="G11" s="45"/>
      <c r="H11" s="5">
        <v>12</v>
      </c>
      <c r="I11" s="5">
        <v>1</v>
      </c>
      <c r="J11" s="6">
        <v>28</v>
      </c>
      <c r="K11" s="5">
        <f t="shared" si="6"/>
        <v>28</v>
      </c>
      <c r="L11" s="41"/>
      <c r="M11" s="5">
        <v>19</v>
      </c>
      <c r="N11" s="5">
        <v>18</v>
      </c>
      <c r="O11" s="5">
        <f t="shared" si="7"/>
        <v>19</v>
      </c>
      <c r="P11" s="5">
        <f t="shared" si="8"/>
        <v>18</v>
      </c>
      <c r="Q11" s="5">
        <v>60</v>
      </c>
      <c r="R11" s="5">
        <v>50</v>
      </c>
      <c r="S11" s="5">
        <v>50</v>
      </c>
      <c r="T11" s="5">
        <f t="shared" si="3"/>
        <v>0.15</v>
      </c>
      <c r="U11" s="5">
        <f t="shared" si="4"/>
        <v>0.15</v>
      </c>
      <c r="V11" s="58"/>
      <c r="W11" s="56"/>
    </row>
    <row r="12" spans="1:23" s="7" customFormat="1" ht="22.95" customHeight="1">
      <c r="A12" s="66"/>
      <c r="B12" s="44" t="s">
        <v>42</v>
      </c>
      <c r="C12" s="44" t="s">
        <v>43</v>
      </c>
      <c r="D12" s="62" t="s">
        <v>57</v>
      </c>
      <c r="E12" s="44" t="s">
        <v>45</v>
      </c>
      <c r="F12" s="59" t="s">
        <v>46</v>
      </c>
      <c r="G12" s="45" t="s">
        <v>47</v>
      </c>
      <c r="H12" s="29" t="s">
        <v>56</v>
      </c>
      <c r="I12" s="5">
        <v>11</v>
      </c>
      <c r="J12" s="6">
        <v>30</v>
      </c>
      <c r="K12" s="5">
        <f t="shared" si="6"/>
        <v>330</v>
      </c>
      <c r="L12" s="41">
        <f t="shared" ref="L12" si="11">K12+K13</f>
        <v>346</v>
      </c>
      <c r="M12" s="5">
        <v>27</v>
      </c>
      <c r="N12" s="5">
        <v>26</v>
      </c>
      <c r="O12" s="5">
        <f t="shared" si="7"/>
        <v>297</v>
      </c>
      <c r="P12" s="5">
        <f t="shared" si="8"/>
        <v>286</v>
      </c>
      <c r="Q12" s="5">
        <v>70</v>
      </c>
      <c r="R12" s="5">
        <v>50</v>
      </c>
      <c r="S12" s="5">
        <v>50</v>
      </c>
      <c r="T12" s="5">
        <f t="shared" si="3"/>
        <v>0.17499999999999999</v>
      </c>
      <c r="U12" s="5">
        <f t="shared" si="4"/>
        <v>1.925</v>
      </c>
      <c r="V12" s="57">
        <v>73</v>
      </c>
      <c r="W12" s="56">
        <f>L12*V12</f>
        <v>25258</v>
      </c>
    </row>
    <row r="13" spans="1:23" ht="22.95" customHeight="1">
      <c r="A13" s="61"/>
      <c r="B13" s="44"/>
      <c r="C13" s="44"/>
      <c r="D13" s="61"/>
      <c r="E13" s="44"/>
      <c r="F13" s="45"/>
      <c r="G13" s="45"/>
      <c r="H13" s="5">
        <v>12</v>
      </c>
      <c r="I13" s="5">
        <v>1</v>
      </c>
      <c r="J13" s="6">
        <v>16</v>
      </c>
      <c r="K13" s="5">
        <f t="shared" si="6"/>
        <v>16</v>
      </c>
      <c r="L13" s="41"/>
      <c r="M13" s="5">
        <v>15</v>
      </c>
      <c r="N13" s="5">
        <v>14</v>
      </c>
      <c r="O13" s="5">
        <f t="shared" si="7"/>
        <v>15</v>
      </c>
      <c r="P13" s="5">
        <f t="shared" si="8"/>
        <v>14</v>
      </c>
      <c r="Q13" s="5">
        <v>70</v>
      </c>
      <c r="R13" s="5">
        <v>50</v>
      </c>
      <c r="S13" s="5">
        <v>50</v>
      </c>
      <c r="T13" s="5">
        <f t="shared" si="3"/>
        <v>0.17499999999999999</v>
      </c>
      <c r="U13" s="5">
        <f t="shared" si="4"/>
        <v>0.17499999999999999</v>
      </c>
      <c r="V13" s="58"/>
      <c r="W13" s="56"/>
    </row>
    <row r="14" spans="1:23" ht="22.95" customHeight="1">
      <c r="A14" s="53" t="s">
        <v>58</v>
      </c>
      <c r="B14" s="54"/>
      <c r="C14" s="54"/>
      <c r="D14" s="54"/>
      <c r="E14" s="54"/>
      <c r="F14" s="54"/>
      <c r="G14" s="54"/>
      <c r="H14" s="31"/>
      <c r="I14" s="5">
        <f>SUM(I4:I13)</f>
        <v>60</v>
      </c>
      <c r="J14" s="6"/>
      <c r="K14" s="5">
        <f>SUM(K4:K13)</f>
        <v>1752</v>
      </c>
      <c r="L14" s="5">
        <f>SUM(L4:L13)</f>
        <v>1752</v>
      </c>
      <c r="M14" s="5"/>
      <c r="N14" s="5"/>
      <c r="O14" s="5">
        <f>SUM(O4:O13)</f>
        <v>1494</v>
      </c>
      <c r="P14" s="5">
        <f>SUM(P4:P13)</f>
        <v>1434</v>
      </c>
      <c r="Q14" s="5"/>
      <c r="R14" s="5"/>
      <c r="S14" s="5"/>
      <c r="T14" s="5"/>
      <c r="U14" s="5">
        <f>SUM(U4:U13)</f>
        <v>10.199999999999999</v>
      </c>
      <c r="V14" s="5"/>
      <c r="W14" s="32">
        <f>SUM(W4:W13)</f>
        <v>129282</v>
      </c>
    </row>
    <row r="15" spans="1:23">
      <c r="C15" s="7"/>
      <c r="D15" s="7"/>
      <c r="E15" s="7"/>
      <c r="F15" s="7"/>
      <c r="G15" s="7"/>
      <c r="H15" s="7"/>
      <c r="I15" s="7"/>
      <c r="J15" s="16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3">
      <c r="C16" s="7"/>
      <c r="D16" s="7"/>
      <c r="E16" s="7"/>
      <c r="F16" s="7"/>
      <c r="G16" s="7"/>
      <c r="H16" s="7"/>
      <c r="I16" s="7"/>
      <c r="J16" s="16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8" spans="5:7">
      <c r="E18" s="33"/>
      <c r="F18" s="33"/>
      <c r="G18" s="33"/>
    </row>
  </sheetData>
  <mergeCells count="50">
    <mergeCell ref="A1:W1"/>
    <mergeCell ref="Q2:S2"/>
    <mergeCell ref="Q3:S3"/>
    <mergeCell ref="A14:G14"/>
    <mergeCell ref="A4:A13"/>
    <mergeCell ref="B4:B5"/>
    <mergeCell ref="B6:B7"/>
    <mergeCell ref="B8:B9"/>
    <mergeCell ref="B10:B11"/>
    <mergeCell ref="B12:B13"/>
    <mergeCell ref="C4:C5"/>
    <mergeCell ref="C6:C7"/>
    <mergeCell ref="C8:C9"/>
    <mergeCell ref="C10:C11"/>
    <mergeCell ref="C12:C13"/>
    <mergeCell ref="D4:D5"/>
    <mergeCell ref="D6:D7"/>
    <mergeCell ref="D8:D9"/>
    <mergeCell ref="D10:D11"/>
    <mergeCell ref="D12:D13"/>
    <mergeCell ref="E4:E5"/>
    <mergeCell ref="E6:E7"/>
    <mergeCell ref="E8:E9"/>
    <mergeCell ref="E10:E11"/>
    <mergeCell ref="E12:E13"/>
    <mergeCell ref="F4:F5"/>
    <mergeCell ref="F6:F7"/>
    <mergeCell ref="F8:F9"/>
    <mergeCell ref="F10:F11"/>
    <mergeCell ref="F12:F13"/>
    <mergeCell ref="G4:G5"/>
    <mergeCell ref="G6:G7"/>
    <mergeCell ref="G8:G9"/>
    <mergeCell ref="G10:G11"/>
    <mergeCell ref="G12:G13"/>
    <mergeCell ref="L4:L5"/>
    <mergeCell ref="L6:L7"/>
    <mergeCell ref="L8:L9"/>
    <mergeCell ref="L10:L11"/>
    <mergeCell ref="L12:L13"/>
    <mergeCell ref="V4:V5"/>
    <mergeCell ref="V6:V7"/>
    <mergeCell ref="V8:V9"/>
    <mergeCell ref="V10:V11"/>
    <mergeCell ref="V12:V13"/>
    <mergeCell ref="W4:W5"/>
    <mergeCell ref="W6:W7"/>
    <mergeCell ref="W8:W9"/>
    <mergeCell ref="W10:W11"/>
    <mergeCell ref="W12:W13"/>
  </mergeCells>
  <pageMargins left="0.75" right="0.75" top="1" bottom="1" header="0.5" footer="0.5"/>
  <pageSetup paperSize="9" scale="44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1"/>
  <sheetViews>
    <sheetView zoomScale="85" zoomScaleNormal="85" workbookViewId="0">
      <selection activeCell="I5" sqref="I5:I7"/>
    </sheetView>
  </sheetViews>
  <sheetFormatPr baseColWidth="10" defaultColWidth="9" defaultRowHeight="14.6"/>
  <cols>
    <col min="1" max="1" width="16.53515625" customWidth="1"/>
    <col min="2" max="2" width="14.84375" customWidth="1"/>
    <col min="3" max="3" width="15.07421875" customWidth="1"/>
    <col min="13" max="13" width="9.4609375" customWidth="1"/>
    <col min="14" max="14" width="9.69140625" customWidth="1"/>
    <col min="15" max="17" width="5.69140625" customWidth="1"/>
    <col min="18" max="18" width="14.07421875" customWidth="1"/>
  </cols>
  <sheetData>
    <row r="1" spans="1:19" ht="22.95" customHeight="1">
      <c r="A1" s="49" t="s">
        <v>59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s="1" customFormat="1" ht="22.95" customHeight="1">
      <c r="A2" s="2" t="s">
        <v>4</v>
      </c>
      <c r="B2" s="2" t="s">
        <v>8</v>
      </c>
      <c r="C2" s="2" t="s">
        <v>60</v>
      </c>
      <c r="D2" s="49" t="s">
        <v>61</v>
      </c>
      <c r="E2" s="49"/>
      <c r="F2" s="49"/>
      <c r="G2" s="2" t="s">
        <v>62</v>
      </c>
      <c r="H2" s="2" t="s">
        <v>9</v>
      </c>
      <c r="I2" s="2" t="s">
        <v>10</v>
      </c>
      <c r="J2" s="2" t="s">
        <v>63</v>
      </c>
      <c r="K2" s="2" t="s">
        <v>13</v>
      </c>
      <c r="L2" s="2" t="s">
        <v>14</v>
      </c>
      <c r="M2" s="2" t="s">
        <v>15</v>
      </c>
      <c r="N2" s="2" t="s">
        <v>16</v>
      </c>
      <c r="O2" s="50" t="s">
        <v>64</v>
      </c>
      <c r="P2" s="51"/>
      <c r="Q2" s="52"/>
      <c r="R2" s="2" t="s">
        <v>18</v>
      </c>
      <c r="S2" s="2" t="s">
        <v>19</v>
      </c>
    </row>
    <row r="3" spans="1:19" ht="22.95" customHeight="1">
      <c r="A3" s="45" t="s">
        <v>65</v>
      </c>
      <c r="B3" s="49" t="s">
        <v>66</v>
      </c>
      <c r="C3" s="45" t="s">
        <v>67</v>
      </c>
      <c r="D3" s="45" t="s">
        <v>68</v>
      </c>
      <c r="E3" s="45"/>
      <c r="F3" s="45"/>
      <c r="G3" s="44" t="s">
        <v>69</v>
      </c>
      <c r="H3" s="44" t="s">
        <v>70</v>
      </c>
      <c r="I3" s="44" t="s">
        <v>29</v>
      </c>
      <c r="J3" s="44" t="s">
        <v>71</v>
      </c>
      <c r="K3" s="44" t="s">
        <v>32</v>
      </c>
      <c r="L3" s="45" t="s">
        <v>33</v>
      </c>
      <c r="M3" s="44" t="s">
        <v>72</v>
      </c>
      <c r="N3" s="44" t="s">
        <v>73</v>
      </c>
      <c r="O3" s="34" t="s">
        <v>74</v>
      </c>
      <c r="P3" s="35"/>
      <c r="Q3" s="36"/>
      <c r="R3" s="40" t="s">
        <v>75</v>
      </c>
      <c r="S3" s="40" t="s">
        <v>38</v>
      </c>
    </row>
    <row r="4" spans="1:19" ht="22.95" customHeight="1">
      <c r="A4" s="45"/>
      <c r="B4" s="49"/>
      <c r="C4" s="45"/>
      <c r="D4" s="3" t="s">
        <v>76</v>
      </c>
      <c r="E4" s="3" t="s">
        <v>77</v>
      </c>
      <c r="F4" s="3" t="s">
        <v>78</v>
      </c>
      <c r="G4" s="44"/>
      <c r="H4" s="44"/>
      <c r="I4" s="44"/>
      <c r="J4" s="44"/>
      <c r="K4" s="44"/>
      <c r="L4" s="45"/>
      <c r="M4" s="45"/>
      <c r="N4" s="45"/>
      <c r="O4" s="37"/>
      <c r="P4" s="38"/>
      <c r="Q4" s="39"/>
      <c r="R4" s="40"/>
      <c r="S4" s="40"/>
    </row>
    <row r="5" spans="1:19" ht="22.95" customHeight="1">
      <c r="A5" s="42" t="s">
        <v>44</v>
      </c>
      <c r="B5" s="41" t="s">
        <v>48</v>
      </c>
      <c r="C5" s="5" t="s">
        <v>79</v>
      </c>
      <c r="D5" s="5">
        <v>4</v>
      </c>
      <c r="E5" s="5">
        <v>4</v>
      </c>
      <c r="F5" s="5">
        <v>4</v>
      </c>
      <c r="G5" s="5">
        <f t="shared" ref="G5:G10" si="0">SUM(D5:F5)</f>
        <v>12</v>
      </c>
      <c r="H5" s="41">
        <v>9</v>
      </c>
      <c r="I5" s="41">
        <f>SUM(G5:G7)</f>
        <v>30</v>
      </c>
      <c r="J5" s="41">
        <f>H5*I5</f>
        <v>270</v>
      </c>
      <c r="K5" s="41">
        <v>31</v>
      </c>
      <c r="L5" s="41">
        <v>30</v>
      </c>
      <c r="M5" s="42">
        <f>K5*H5</f>
        <v>279</v>
      </c>
      <c r="N5" s="42">
        <f>L5*H5</f>
        <v>270</v>
      </c>
      <c r="O5" s="41">
        <v>70</v>
      </c>
      <c r="P5" s="41">
        <v>50</v>
      </c>
      <c r="Q5" s="41">
        <v>50</v>
      </c>
      <c r="R5" s="41">
        <f>O5*P5*Q5*0.000001</f>
        <v>0.17499999999999999</v>
      </c>
      <c r="S5" s="41">
        <f>H5*R5</f>
        <v>1.575</v>
      </c>
    </row>
    <row r="6" spans="1:19" ht="22.95" customHeight="1">
      <c r="A6" s="43"/>
      <c r="B6" s="41"/>
      <c r="C6" s="5" t="s">
        <v>80</v>
      </c>
      <c r="D6" s="5">
        <v>3</v>
      </c>
      <c r="E6" s="5">
        <v>3</v>
      </c>
      <c r="F6" s="5">
        <v>3</v>
      </c>
      <c r="G6" s="5">
        <f t="shared" si="0"/>
        <v>9</v>
      </c>
      <c r="H6" s="41"/>
      <c r="I6" s="41"/>
      <c r="J6" s="41"/>
      <c r="K6" s="41"/>
      <c r="L6" s="41"/>
      <c r="M6" s="43"/>
      <c r="N6" s="43"/>
      <c r="O6" s="41"/>
      <c r="P6" s="41"/>
      <c r="Q6" s="41"/>
      <c r="R6" s="41"/>
      <c r="S6" s="41"/>
    </row>
    <row r="7" spans="1:19" ht="22.95" customHeight="1">
      <c r="A7" s="43"/>
      <c r="B7" s="41"/>
      <c r="C7" s="5" t="s">
        <v>81</v>
      </c>
      <c r="D7" s="5">
        <v>3</v>
      </c>
      <c r="E7" s="5">
        <v>3</v>
      </c>
      <c r="F7" s="5">
        <v>3</v>
      </c>
      <c r="G7" s="5">
        <f t="shared" si="0"/>
        <v>9</v>
      </c>
      <c r="H7" s="41"/>
      <c r="I7" s="41"/>
      <c r="J7" s="41"/>
      <c r="K7" s="41"/>
      <c r="L7" s="41"/>
      <c r="M7" s="43"/>
      <c r="N7" s="43"/>
      <c r="O7" s="41"/>
      <c r="P7" s="41"/>
      <c r="Q7" s="41"/>
      <c r="R7" s="41"/>
      <c r="S7" s="41"/>
    </row>
    <row r="8" spans="1:19" ht="22.95" customHeight="1">
      <c r="A8" s="43"/>
      <c r="B8" s="41">
        <v>10</v>
      </c>
      <c r="C8" s="5" t="s">
        <v>79</v>
      </c>
      <c r="D8" s="5">
        <v>3</v>
      </c>
      <c r="E8" s="5">
        <v>3</v>
      </c>
      <c r="F8" s="5">
        <v>4</v>
      </c>
      <c r="G8" s="5">
        <f t="shared" si="0"/>
        <v>10</v>
      </c>
      <c r="H8" s="41">
        <v>1</v>
      </c>
      <c r="I8" s="41">
        <f>SUM(G8:G10)</f>
        <v>28</v>
      </c>
      <c r="J8" s="41">
        <f>H8*I8</f>
        <v>28</v>
      </c>
      <c r="K8" s="41">
        <v>26</v>
      </c>
      <c r="L8" s="41">
        <v>25</v>
      </c>
      <c r="M8" s="42">
        <f>K8*H8</f>
        <v>26</v>
      </c>
      <c r="N8" s="42">
        <f>L8*H8</f>
        <v>25</v>
      </c>
      <c r="O8" s="41">
        <v>70</v>
      </c>
      <c r="P8" s="41">
        <v>50</v>
      </c>
      <c r="Q8" s="41">
        <v>50</v>
      </c>
      <c r="R8" s="41">
        <f>O8*P8*Q8*0.000001</f>
        <v>0.17499999999999999</v>
      </c>
      <c r="S8" s="41">
        <f>H8*R8</f>
        <v>0.17499999999999999</v>
      </c>
    </row>
    <row r="9" spans="1:19" ht="22.95" customHeight="1">
      <c r="A9" s="43"/>
      <c r="B9" s="41"/>
      <c r="C9" s="5" t="s">
        <v>80</v>
      </c>
      <c r="D9" s="5">
        <v>3</v>
      </c>
      <c r="E9" s="5">
        <v>3</v>
      </c>
      <c r="F9" s="5">
        <v>3</v>
      </c>
      <c r="G9" s="5">
        <f t="shared" si="0"/>
        <v>9</v>
      </c>
      <c r="H9" s="41"/>
      <c r="I9" s="41"/>
      <c r="J9" s="41"/>
      <c r="K9" s="41"/>
      <c r="L9" s="41"/>
      <c r="M9" s="43"/>
      <c r="N9" s="43"/>
      <c r="O9" s="41"/>
      <c r="P9" s="41"/>
      <c r="Q9" s="41"/>
      <c r="R9" s="41"/>
      <c r="S9" s="41"/>
    </row>
    <row r="10" spans="1:19" ht="22.95" customHeight="1">
      <c r="A10" s="43"/>
      <c r="B10" s="42"/>
      <c r="C10" s="4" t="s">
        <v>81</v>
      </c>
      <c r="D10" s="4">
        <v>3</v>
      </c>
      <c r="E10" s="4">
        <v>3</v>
      </c>
      <c r="F10" s="4">
        <v>3</v>
      </c>
      <c r="G10" s="4">
        <f t="shared" si="0"/>
        <v>9</v>
      </c>
      <c r="H10" s="42"/>
      <c r="I10" s="42"/>
      <c r="J10" s="42"/>
      <c r="K10" s="42"/>
      <c r="L10" s="42"/>
      <c r="M10" s="43"/>
      <c r="N10" s="43"/>
      <c r="O10" s="41"/>
      <c r="P10" s="41"/>
      <c r="Q10" s="41"/>
      <c r="R10" s="42"/>
      <c r="S10" s="42"/>
    </row>
    <row r="11" spans="1:19" ht="22.95" customHeight="1">
      <c r="A11" s="53" t="s">
        <v>58</v>
      </c>
      <c r="B11" s="54"/>
      <c r="C11" s="54"/>
      <c r="D11" s="54"/>
      <c r="E11" s="54"/>
      <c r="F11" s="54"/>
      <c r="G11" s="55"/>
      <c r="H11" s="5">
        <f>SUM(H5:H10)</f>
        <v>10</v>
      </c>
      <c r="I11" s="5"/>
      <c r="J11" s="5">
        <f>SUM(J5:J10)</f>
        <v>298</v>
      </c>
      <c r="K11" s="5"/>
      <c r="L11" s="5"/>
      <c r="M11" s="5">
        <f>SUM(M5:M10)</f>
        <v>305</v>
      </c>
      <c r="N11" s="5">
        <f>SUM(N5:N10)</f>
        <v>295</v>
      </c>
      <c r="O11" s="5"/>
      <c r="P11" s="5"/>
      <c r="Q11" s="5"/>
      <c r="R11" s="5"/>
      <c r="S11" s="5">
        <f>SUM(S5:S10)</f>
        <v>1.75</v>
      </c>
    </row>
    <row r="12" spans="1:19" ht="1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5" customHeight="1">
      <c r="A13" s="8" t="s">
        <v>82</v>
      </c>
      <c r="B13" s="9"/>
      <c r="C13" s="8" t="s">
        <v>83</v>
      </c>
      <c r="D13" s="10"/>
      <c r="E13" s="11"/>
      <c r="F13" s="12"/>
      <c r="G13" s="13" t="s">
        <v>84</v>
      </c>
      <c r="H13" s="11"/>
      <c r="I13" s="11"/>
      <c r="J13" s="46" t="s">
        <v>85</v>
      </c>
      <c r="K13" s="46"/>
      <c r="L13" s="46"/>
      <c r="M13" s="46"/>
      <c r="N13" s="46"/>
      <c r="O13" s="14"/>
      <c r="P13" s="14"/>
      <c r="Q13" s="12"/>
      <c r="R13" s="12"/>
      <c r="S13" s="12"/>
    </row>
    <row r="14" spans="1:19" ht="15" customHeight="1">
      <c r="A14" s="7"/>
      <c r="B14" s="7"/>
      <c r="C14" s="15" t="s">
        <v>86</v>
      </c>
      <c r="D14" s="7"/>
      <c r="E14" s="7"/>
      <c r="F14" s="47" t="s">
        <v>87</v>
      </c>
      <c r="G14" s="48"/>
      <c r="H14" s="48"/>
      <c r="I14" s="7"/>
      <c r="J14" s="47" t="s">
        <v>87</v>
      </c>
      <c r="K14" s="48"/>
      <c r="L14" s="48"/>
      <c r="M14" s="7"/>
      <c r="N14" s="7"/>
      <c r="O14" s="7"/>
      <c r="P14" s="7"/>
      <c r="Q14" s="7"/>
      <c r="R14" s="7"/>
      <c r="S14" s="7"/>
    </row>
    <row r="15" spans="1:19" ht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ht="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ht="15.9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</row>
    <row r="18" spans="1:19" ht="15.9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21" spans="1:19" ht="9" customHeight="1"/>
  </sheetData>
  <mergeCells count="50">
    <mergeCell ref="A1:S1"/>
    <mergeCell ref="D2:F2"/>
    <mergeCell ref="O2:Q2"/>
    <mergeCell ref="D3:F3"/>
    <mergeCell ref="A11:G11"/>
    <mergeCell ref="I8:I10"/>
    <mergeCell ref="J3:J4"/>
    <mergeCell ref="J5:J7"/>
    <mergeCell ref="J8:J10"/>
    <mergeCell ref="K3:K4"/>
    <mergeCell ref="K5:K7"/>
    <mergeCell ref="K8:K10"/>
    <mergeCell ref="L3:L4"/>
    <mergeCell ref="L5:L7"/>
    <mergeCell ref="L8:L10"/>
    <mergeCell ref="M3:M4"/>
    <mergeCell ref="J13:L13"/>
    <mergeCell ref="M13:N13"/>
    <mergeCell ref="F14:H14"/>
    <mergeCell ref="J14:L14"/>
    <mergeCell ref="A3:A4"/>
    <mergeCell ref="A5:A10"/>
    <mergeCell ref="B3:B4"/>
    <mergeCell ref="B5:B7"/>
    <mergeCell ref="B8:B10"/>
    <mergeCell ref="C3:C4"/>
    <mergeCell ref="G3:G4"/>
    <mergeCell ref="H3:H4"/>
    <mergeCell ref="H5:H7"/>
    <mergeCell ref="H8:H10"/>
    <mergeCell ref="I3:I4"/>
    <mergeCell ref="I5:I7"/>
    <mergeCell ref="M5:M7"/>
    <mergeCell ref="M8:M10"/>
    <mergeCell ref="N3:N4"/>
    <mergeCell ref="N5:N7"/>
    <mergeCell ref="N8:N10"/>
    <mergeCell ref="O3:Q4"/>
    <mergeCell ref="R3:R4"/>
    <mergeCell ref="R5:R7"/>
    <mergeCell ref="R8:R10"/>
    <mergeCell ref="S3:S4"/>
    <mergeCell ref="S5:S7"/>
    <mergeCell ref="S8:S10"/>
    <mergeCell ref="O5:O7"/>
    <mergeCell ref="O8:O10"/>
    <mergeCell ref="P5:P7"/>
    <mergeCell ref="P8:P10"/>
    <mergeCell ref="Q5:Q7"/>
    <mergeCell ref="Q8:Q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1"/>
  <sheetViews>
    <sheetView zoomScale="85" zoomScaleNormal="85" workbookViewId="0">
      <selection activeCell="H11" sqref="H11"/>
    </sheetView>
  </sheetViews>
  <sheetFormatPr baseColWidth="10" defaultColWidth="9" defaultRowHeight="14.6"/>
  <cols>
    <col min="1" max="1" width="16.53515625" customWidth="1"/>
    <col min="2" max="2" width="14.84375" customWidth="1"/>
    <col min="3" max="3" width="15.07421875" customWidth="1"/>
    <col min="13" max="13" width="9.4609375" customWidth="1"/>
    <col min="14" max="14" width="9.69140625" customWidth="1"/>
    <col min="15" max="17" width="5.69140625" customWidth="1"/>
    <col min="18" max="18" width="14.07421875" customWidth="1"/>
  </cols>
  <sheetData>
    <row r="1" spans="1:19" ht="22.95" customHeight="1">
      <c r="A1" s="49" t="s">
        <v>59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s="1" customFormat="1" ht="22.95" customHeight="1">
      <c r="A2" s="2" t="s">
        <v>4</v>
      </c>
      <c r="B2" s="2" t="s">
        <v>8</v>
      </c>
      <c r="C2" s="2" t="s">
        <v>60</v>
      </c>
      <c r="D2" s="49" t="s">
        <v>61</v>
      </c>
      <c r="E2" s="49"/>
      <c r="F2" s="49"/>
      <c r="G2" s="2" t="s">
        <v>62</v>
      </c>
      <c r="H2" s="2" t="s">
        <v>9</v>
      </c>
      <c r="I2" s="2" t="s">
        <v>10</v>
      </c>
      <c r="J2" s="2" t="s">
        <v>63</v>
      </c>
      <c r="K2" s="2" t="s">
        <v>13</v>
      </c>
      <c r="L2" s="2" t="s">
        <v>14</v>
      </c>
      <c r="M2" s="2" t="s">
        <v>15</v>
      </c>
      <c r="N2" s="2" t="s">
        <v>16</v>
      </c>
      <c r="O2" s="50" t="s">
        <v>64</v>
      </c>
      <c r="P2" s="51"/>
      <c r="Q2" s="52"/>
      <c r="R2" s="2" t="s">
        <v>18</v>
      </c>
      <c r="S2" s="2" t="s">
        <v>19</v>
      </c>
    </row>
    <row r="3" spans="1:19" ht="22.95" customHeight="1">
      <c r="A3" s="45" t="s">
        <v>65</v>
      </c>
      <c r="B3" s="49" t="s">
        <v>66</v>
      </c>
      <c r="C3" s="45" t="s">
        <v>67</v>
      </c>
      <c r="D3" s="45" t="s">
        <v>68</v>
      </c>
      <c r="E3" s="45"/>
      <c r="F3" s="45"/>
      <c r="G3" s="44" t="s">
        <v>69</v>
      </c>
      <c r="H3" s="44" t="s">
        <v>70</v>
      </c>
      <c r="I3" s="44" t="s">
        <v>29</v>
      </c>
      <c r="J3" s="44" t="s">
        <v>71</v>
      </c>
      <c r="K3" s="44" t="s">
        <v>32</v>
      </c>
      <c r="L3" s="45" t="s">
        <v>33</v>
      </c>
      <c r="M3" s="44" t="s">
        <v>72</v>
      </c>
      <c r="N3" s="44" t="s">
        <v>73</v>
      </c>
      <c r="O3" s="34" t="s">
        <v>74</v>
      </c>
      <c r="P3" s="35"/>
      <c r="Q3" s="36"/>
      <c r="R3" s="40" t="s">
        <v>75</v>
      </c>
      <c r="S3" s="40" t="s">
        <v>38</v>
      </c>
    </row>
    <row r="4" spans="1:19" ht="22.95" customHeight="1">
      <c r="A4" s="45"/>
      <c r="B4" s="49"/>
      <c r="C4" s="45"/>
      <c r="D4" s="3" t="s">
        <v>76</v>
      </c>
      <c r="E4" s="3" t="s">
        <v>77</v>
      </c>
      <c r="F4" s="3" t="s">
        <v>78</v>
      </c>
      <c r="G4" s="44"/>
      <c r="H4" s="44"/>
      <c r="I4" s="44"/>
      <c r="J4" s="44"/>
      <c r="K4" s="44"/>
      <c r="L4" s="45"/>
      <c r="M4" s="45"/>
      <c r="N4" s="45"/>
      <c r="O4" s="37"/>
      <c r="P4" s="38"/>
      <c r="Q4" s="39"/>
      <c r="R4" s="40"/>
      <c r="S4" s="40"/>
    </row>
    <row r="5" spans="1:19" ht="22.95" customHeight="1">
      <c r="A5" s="42" t="s">
        <v>49</v>
      </c>
      <c r="B5" s="41" t="s">
        <v>50</v>
      </c>
      <c r="C5" s="5" t="s">
        <v>88</v>
      </c>
      <c r="D5" s="5">
        <v>3</v>
      </c>
      <c r="E5" s="5">
        <v>3</v>
      </c>
      <c r="F5" s="5">
        <v>3</v>
      </c>
      <c r="G5" s="5">
        <f t="shared" ref="G5:G10" si="0">SUM(D5:F5)</f>
        <v>9</v>
      </c>
      <c r="H5" s="41">
        <v>12</v>
      </c>
      <c r="I5" s="41">
        <f>SUM(G5:G7)</f>
        <v>30</v>
      </c>
      <c r="J5" s="41">
        <f>H5*I5</f>
        <v>360</v>
      </c>
      <c r="K5" s="41">
        <v>23</v>
      </c>
      <c r="L5" s="41">
        <v>22</v>
      </c>
      <c r="M5" s="42">
        <f>K5*H5</f>
        <v>276</v>
      </c>
      <c r="N5" s="42">
        <f>L5*H5</f>
        <v>264</v>
      </c>
      <c r="O5" s="41">
        <v>70</v>
      </c>
      <c r="P5" s="41">
        <v>50</v>
      </c>
      <c r="Q5" s="41">
        <v>50</v>
      </c>
      <c r="R5" s="41">
        <f>O5*P5*Q5*0.000001</f>
        <v>0.17499999999999999</v>
      </c>
      <c r="S5" s="41">
        <f>H5*R5</f>
        <v>2.1</v>
      </c>
    </row>
    <row r="6" spans="1:19" ht="22.95" customHeight="1">
      <c r="A6" s="43"/>
      <c r="B6" s="41"/>
      <c r="C6" s="5" t="s">
        <v>89</v>
      </c>
      <c r="D6" s="5">
        <v>3</v>
      </c>
      <c r="E6" s="5">
        <v>3</v>
      </c>
      <c r="F6" s="5">
        <v>3</v>
      </c>
      <c r="G6" s="5">
        <f t="shared" si="0"/>
        <v>9</v>
      </c>
      <c r="H6" s="41"/>
      <c r="I6" s="41"/>
      <c r="J6" s="41"/>
      <c r="K6" s="41"/>
      <c r="L6" s="41"/>
      <c r="M6" s="43"/>
      <c r="N6" s="43"/>
      <c r="O6" s="41"/>
      <c r="P6" s="41"/>
      <c r="Q6" s="41"/>
      <c r="R6" s="41"/>
      <c r="S6" s="41"/>
    </row>
    <row r="7" spans="1:19" ht="22.95" customHeight="1">
      <c r="A7" s="43"/>
      <c r="B7" s="41"/>
      <c r="C7" s="5" t="s">
        <v>90</v>
      </c>
      <c r="D7" s="5">
        <v>4</v>
      </c>
      <c r="E7" s="5">
        <v>4</v>
      </c>
      <c r="F7" s="5">
        <v>4</v>
      </c>
      <c r="G7" s="5">
        <f t="shared" si="0"/>
        <v>12</v>
      </c>
      <c r="H7" s="41"/>
      <c r="I7" s="41"/>
      <c r="J7" s="41"/>
      <c r="K7" s="41"/>
      <c r="L7" s="41"/>
      <c r="M7" s="43"/>
      <c r="N7" s="43"/>
      <c r="O7" s="41"/>
      <c r="P7" s="41"/>
      <c r="Q7" s="41"/>
      <c r="R7" s="41"/>
      <c r="S7" s="41"/>
    </row>
    <row r="8" spans="1:19" ht="22.95" customHeight="1">
      <c r="A8" s="43"/>
      <c r="B8" s="41">
        <v>13</v>
      </c>
      <c r="C8" s="5" t="s">
        <v>90</v>
      </c>
      <c r="D8" s="5">
        <v>3</v>
      </c>
      <c r="E8" s="5">
        <v>3</v>
      </c>
      <c r="F8" s="5">
        <v>3</v>
      </c>
      <c r="G8" s="5">
        <f t="shared" si="0"/>
        <v>9</v>
      </c>
      <c r="H8" s="41">
        <v>1</v>
      </c>
      <c r="I8" s="41">
        <f>SUM(G8:G10)</f>
        <v>20</v>
      </c>
      <c r="J8" s="41">
        <f>H8*I8</f>
        <v>20</v>
      </c>
      <c r="K8" s="41">
        <v>16</v>
      </c>
      <c r="L8" s="41">
        <v>15</v>
      </c>
      <c r="M8" s="42">
        <f>K8*H8</f>
        <v>16</v>
      </c>
      <c r="N8" s="42">
        <f>L8*H8</f>
        <v>15</v>
      </c>
      <c r="O8" s="41">
        <v>70</v>
      </c>
      <c r="P8" s="41">
        <v>50</v>
      </c>
      <c r="Q8" s="41">
        <v>50</v>
      </c>
      <c r="R8" s="41">
        <f>O8*P8*Q8*0.000001</f>
        <v>0.17499999999999999</v>
      </c>
      <c r="S8" s="41">
        <f>H8*R8</f>
        <v>0.17499999999999999</v>
      </c>
    </row>
    <row r="9" spans="1:19" ht="22.95" customHeight="1">
      <c r="A9" s="43"/>
      <c r="B9" s="41"/>
      <c r="C9" s="5" t="s">
        <v>89</v>
      </c>
      <c r="D9" s="5">
        <v>2</v>
      </c>
      <c r="E9" s="5">
        <v>2</v>
      </c>
      <c r="F9" s="5">
        <v>2</v>
      </c>
      <c r="G9" s="5">
        <f t="shared" si="0"/>
        <v>6</v>
      </c>
      <c r="H9" s="41"/>
      <c r="I9" s="41"/>
      <c r="J9" s="41"/>
      <c r="K9" s="41"/>
      <c r="L9" s="41"/>
      <c r="M9" s="43"/>
      <c r="N9" s="43"/>
      <c r="O9" s="41"/>
      <c r="P9" s="41"/>
      <c r="Q9" s="41"/>
      <c r="R9" s="41"/>
      <c r="S9" s="41"/>
    </row>
    <row r="10" spans="1:19" ht="22.95" customHeight="1">
      <c r="A10" s="43"/>
      <c r="B10" s="42"/>
      <c r="C10" s="4" t="s">
        <v>88</v>
      </c>
      <c r="D10" s="4">
        <v>2</v>
      </c>
      <c r="E10" s="4">
        <v>1</v>
      </c>
      <c r="F10" s="4">
        <v>2</v>
      </c>
      <c r="G10" s="4">
        <f t="shared" si="0"/>
        <v>5</v>
      </c>
      <c r="H10" s="42"/>
      <c r="I10" s="42"/>
      <c r="J10" s="42"/>
      <c r="K10" s="42"/>
      <c r="L10" s="42"/>
      <c r="M10" s="43"/>
      <c r="N10" s="43"/>
      <c r="O10" s="41"/>
      <c r="P10" s="41"/>
      <c r="Q10" s="41"/>
      <c r="R10" s="42"/>
      <c r="S10" s="42"/>
    </row>
    <row r="11" spans="1:19" ht="22.95" customHeight="1">
      <c r="A11" s="53" t="s">
        <v>58</v>
      </c>
      <c r="B11" s="54"/>
      <c r="C11" s="54"/>
      <c r="D11" s="54"/>
      <c r="E11" s="54"/>
      <c r="F11" s="54"/>
      <c r="G11" s="55"/>
      <c r="H11" s="5">
        <f>SUM(H5:H10)</f>
        <v>13</v>
      </c>
      <c r="I11" s="5"/>
      <c r="J11" s="5">
        <f>SUM(J5:J10)</f>
        <v>380</v>
      </c>
      <c r="K11" s="5"/>
      <c r="L11" s="5"/>
      <c r="M11" s="5">
        <f>SUM(M5:M10)</f>
        <v>292</v>
      </c>
      <c r="N11" s="5">
        <f>SUM(N5:N10)</f>
        <v>279</v>
      </c>
      <c r="O11" s="5"/>
      <c r="P11" s="5"/>
      <c r="Q11" s="5"/>
      <c r="R11" s="5"/>
      <c r="S11" s="5">
        <f>SUM(S5:S10)</f>
        <v>2.2749999999999999</v>
      </c>
    </row>
    <row r="12" spans="1:19" ht="1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5" customHeight="1">
      <c r="A13" s="8" t="s">
        <v>82</v>
      </c>
      <c r="B13" s="9"/>
      <c r="C13" s="8" t="s">
        <v>83</v>
      </c>
      <c r="D13" s="10"/>
      <c r="E13" s="11"/>
      <c r="F13" s="12"/>
      <c r="G13" s="13" t="s">
        <v>84</v>
      </c>
      <c r="H13" s="11"/>
      <c r="I13" s="11"/>
      <c r="J13" s="46" t="s">
        <v>85</v>
      </c>
      <c r="K13" s="46"/>
      <c r="L13" s="46"/>
      <c r="M13" s="46"/>
      <c r="N13" s="46"/>
      <c r="O13" s="14"/>
      <c r="P13" s="14"/>
      <c r="Q13" s="12"/>
      <c r="R13" s="12"/>
      <c r="S13" s="12"/>
    </row>
    <row r="14" spans="1:19" ht="15" customHeight="1">
      <c r="A14" s="7"/>
      <c r="B14" s="7"/>
      <c r="C14" s="15" t="s">
        <v>86</v>
      </c>
      <c r="D14" s="7"/>
      <c r="E14" s="7"/>
      <c r="F14" s="47" t="s">
        <v>87</v>
      </c>
      <c r="G14" s="48"/>
      <c r="H14" s="48"/>
      <c r="I14" s="7"/>
      <c r="J14" s="47" t="s">
        <v>87</v>
      </c>
      <c r="K14" s="48"/>
      <c r="L14" s="48"/>
      <c r="M14" s="7"/>
      <c r="N14" s="7"/>
      <c r="O14" s="7"/>
      <c r="P14" s="7"/>
      <c r="Q14" s="7"/>
      <c r="R14" s="7"/>
      <c r="S14" s="7"/>
    </row>
    <row r="15" spans="1:19" ht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ht="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ht="15.9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</row>
    <row r="18" spans="1:19" ht="15.9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21" spans="1:19" ht="9" customHeight="1"/>
  </sheetData>
  <mergeCells count="50">
    <mergeCell ref="A1:S1"/>
    <mergeCell ref="D2:F2"/>
    <mergeCell ref="O2:Q2"/>
    <mergeCell ref="D3:F3"/>
    <mergeCell ref="A11:G11"/>
    <mergeCell ref="I8:I10"/>
    <mergeCell ref="J3:J4"/>
    <mergeCell ref="J5:J7"/>
    <mergeCell ref="J8:J10"/>
    <mergeCell ref="K3:K4"/>
    <mergeCell ref="K5:K7"/>
    <mergeCell ref="K8:K10"/>
    <mergeCell ref="L3:L4"/>
    <mergeCell ref="L5:L7"/>
    <mergeCell ref="L8:L10"/>
    <mergeCell ref="M3:M4"/>
    <mergeCell ref="J13:L13"/>
    <mergeCell ref="M13:N13"/>
    <mergeCell ref="F14:H14"/>
    <mergeCell ref="J14:L14"/>
    <mergeCell ref="A3:A4"/>
    <mergeCell ref="A5:A10"/>
    <mergeCell ref="B3:B4"/>
    <mergeCell ref="B5:B7"/>
    <mergeCell ref="B8:B10"/>
    <mergeCell ref="C3:C4"/>
    <mergeCell ref="G3:G4"/>
    <mergeCell ref="H3:H4"/>
    <mergeCell ref="H5:H7"/>
    <mergeCell ref="H8:H10"/>
    <mergeCell ref="I3:I4"/>
    <mergeCell ref="I5:I7"/>
    <mergeCell ref="M5:M7"/>
    <mergeCell ref="M8:M10"/>
    <mergeCell ref="N3:N4"/>
    <mergeCell ref="N5:N7"/>
    <mergeCell ref="N8:N10"/>
    <mergeCell ref="O3:Q4"/>
    <mergeCell ref="R3:R4"/>
    <mergeCell ref="R5:R7"/>
    <mergeCell ref="R8:R10"/>
    <mergeCell ref="S3:S4"/>
    <mergeCell ref="S5:S7"/>
    <mergeCell ref="S8:S10"/>
    <mergeCell ref="O5:O7"/>
    <mergeCell ref="O8:O10"/>
    <mergeCell ref="P5:P7"/>
    <mergeCell ref="P8:P10"/>
    <mergeCell ref="Q5:Q7"/>
    <mergeCell ref="Q8:Q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9"/>
  <sheetViews>
    <sheetView zoomScale="85" zoomScaleNormal="85" workbookViewId="0">
      <selection activeCell="A5" sqref="A5:A8"/>
    </sheetView>
  </sheetViews>
  <sheetFormatPr baseColWidth="10" defaultColWidth="9" defaultRowHeight="14.6"/>
  <cols>
    <col min="1" max="1" width="16.53515625" customWidth="1"/>
    <col min="2" max="2" width="14.84375" customWidth="1"/>
    <col min="3" max="3" width="15.07421875" customWidth="1"/>
    <col min="13" max="13" width="9.4609375" customWidth="1"/>
    <col min="14" max="14" width="9.69140625" customWidth="1"/>
    <col min="15" max="17" width="5.69140625" customWidth="1"/>
    <col min="18" max="18" width="14.07421875" customWidth="1"/>
  </cols>
  <sheetData>
    <row r="1" spans="1:19" ht="22.95" customHeight="1">
      <c r="A1" s="49" t="s">
        <v>59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s="1" customFormat="1" ht="22.95" customHeight="1">
      <c r="A2" s="2" t="s">
        <v>4</v>
      </c>
      <c r="B2" s="2" t="s">
        <v>8</v>
      </c>
      <c r="C2" s="2" t="s">
        <v>60</v>
      </c>
      <c r="D2" s="49" t="s">
        <v>61</v>
      </c>
      <c r="E2" s="49"/>
      <c r="F2" s="49"/>
      <c r="G2" s="2" t="s">
        <v>62</v>
      </c>
      <c r="H2" s="2" t="s">
        <v>9</v>
      </c>
      <c r="I2" s="2" t="s">
        <v>10</v>
      </c>
      <c r="J2" s="2" t="s">
        <v>63</v>
      </c>
      <c r="K2" s="2" t="s">
        <v>13</v>
      </c>
      <c r="L2" s="2" t="s">
        <v>14</v>
      </c>
      <c r="M2" s="2" t="s">
        <v>15</v>
      </c>
      <c r="N2" s="2" t="s">
        <v>16</v>
      </c>
      <c r="O2" s="50" t="s">
        <v>64</v>
      </c>
      <c r="P2" s="51"/>
      <c r="Q2" s="52"/>
      <c r="R2" s="2" t="s">
        <v>18</v>
      </c>
      <c r="S2" s="2" t="s">
        <v>19</v>
      </c>
    </row>
    <row r="3" spans="1:19" ht="22.95" customHeight="1">
      <c r="A3" s="45" t="s">
        <v>65</v>
      </c>
      <c r="B3" s="49" t="s">
        <v>66</v>
      </c>
      <c r="C3" s="45" t="s">
        <v>67</v>
      </c>
      <c r="D3" s="45" t="s">
        <v>68</v>
      </c>
      <c r="E3" s="45"/>
      <c r="F3" s="45"/>
      <c r="G3" s="44" t="s">
        <v>69</v>
      </c>
      <c r="H3" s="44" t="s">
        <v>70</v>
      </c>
      <c r="I3" s="44" t="s">
        <v>29</v>
      </c>
      <c r="J3" s="44" t="s">
        <v>71</v>
      </c>
      <c r="K3" s="44" t="s">
        <v>32</v>
      </c>
      <c r="L3" s="45" t="s">
        <v>33</v>
      </c>
      <c r="M3" s="44" t="s">
        <v>72</v>
      </c>
      <c r="N3" s="44" t="s">
        <v>73</v>
      </c>
      <c r="O3" s="34" t="s">
        <v>74</v>
      </c>
      <c r="P3" s="35"/>
      <c r="Q3" s="36"/>
      <c r="R3" s="40" t="s">
        <v>75</v>
      </c>
      <c r="S3" s="40" t="s">
        <v>38</v>
      </c>
    </row>
    <row r="4" spans="1:19" ht="22.95" customHeight="1">
      <c r="A4" s="45"/>
      <c r="B4" s="49"/>
      <c r="C4" s="45"/>
      <c r="D4" s="3" t="s">
        <v>76</v>
      </c>
      <c r="E4" s="3" t="s">
        <v>77</v>
      </c>
      <c r="F4" s="3" t="s">
        <v>78</v>
      </c>
      <c r="G4" s="44"/>
      <c r="H4" s="44"/>
      <c r="I4" s="44"/>
      <c r="J4" s="44"/>
      <c r="K4" s="44"/>
      <c r="L4" s="45"/>
      <c r="M4" s="45"/>
      <c r="N4" s="45"/>
      <c r="O4" s="37"/>
      <c r="P4" s="38"/>
      <c r="Q4" s="39"/>
      <c r="R4" s="40"/>
      <c r="S4" s="40"/>
    </row>
    <row r="5" spans="1:19" ht="22.95" customHeight="1">
      <c r="A5" s="42" t="s">
        <v>51</v>
      </c>
      <c r="B5" s="41" t="s">
        <v>50</v>
      </c>
      <c r="C5" s="5" t="s">
        <v>79</v>
      </c>
      <c r="D5" s="5">
        <v>5</v>
      </c>
      <c r="E5" s="5">
        <v>5</v>
      </c>
      <c r="F5" s="5">
        <v>5</v>
      </c>
      <c r="G5" s="5">
        <f>SUM(D5:F5)</f>
        <v>15</v>
      </c>
      <c r="H5" s="41">
        <v>12</v>
      </c>
      <c r="I5" s="41">
        <f>SUM(G5:G6)</f>
        <v>30</v>
      </c>
      <c r="J5" s="41">
        <f>H5*I5</f>
        <v>360</v>
      </c>
      <c r="K5" s="41">
        <v>28</v>
      </c>
      <c r="L5" s="41">
        <v>27</v>
      </c>
      <c r="M5" s="42">
        <f>K5*H5</f>
        <v>336</v>
      </c>
      <c r="N5" s="42">
        <f>L5*H5</f>
        <v>324</v>
      </c>
      <c r="O5" s="41">
        <v>70</v>
      </c>
      <c r="P5" s="41">
        <v>50</v>
      </c>
      <c r="Q5" s="41">
        <v>50</v>
      </c>
      <c r="R5" s="41">
        <f>O5*P5*Q5*0.000001</f>
        <v>0.17499999999999999</v>
      </c>
      <c r="S5" s="41">
        <f>H5*R5</f>
        <v>2.1</v>
      </c>
    </row>
    <row r="6" spans="1:19" ht="22.95" customHeight="1">
      <c r="A6" s="43"/>
      <c r="B6" s="41"/>
      <c r="C6" s="5" t="s">
        <v>80</v>
      </c>
      <c r="D6" s="5">
        <v>5</v>
      </c>
      <c r="E6" s="5">
        <v>5</v>
      </c>
      <c r="F6" s="5">
        <v>5</v>
      </c>
      <c r="G6" s="5">
        <f>SUM(D6:F6)</f>
        <v>15</v>
      </c>
      <c r="H6" s="41"/>
      <c r="I6" s="41"/>
      <c r="J6" s="41"/>
      <c r="K6" s="41"/>
      <c r="L6" s="41"/>
      <c r="M6" s="43"/>
      <c r="N6" s="43"/>
      <c r="O6" s="41"/>
      <c r="P6" s="41"/>
      <c r="Q6" s="41"/>
      <c r="R6" s="41"/>
      <c r="S6" s="41"/>
    </row>
    <row r="7" spans="1:19" ht="22.95" customHeight="1">
      <c r="A7" s="43"/>
      <c r="B7" s="41">
        <v>13</v>
      </c>
      <c r="C7" s="5" t="s">
        <v>79</v>
      </c>
      <c r="D7" s="5">
        <v>2</v>
      </c>
      <c r="E7" s="5">
        <v>2</v>
      </c>
      <c r="F7" s="5">
        <v>2</v>
      </c>
      <c r="G7" s="5">
        <f>SUM(D7:F7)</f>
        <v>6</v>
      </c>
      <c r="H7" s="41">
        <v>1</v>
      </c>
      <c r="I7" s="41">
        <f>SUM(G7:G8)</f>
        <v>10</v>
      </c>
      <c r="J7" s="41">
        <f>H7*I7</f>
        <v>10</v>
      </c>
      <c r="K7" s="41">
        <v>10</v>
      </c>
      <c r="L7" s="41">
        <v>9</v>
      </c>
      <c r="M7" s="42">
        <f>K7*H7</f>
        <v>10</v>
      </c>
      <c r="N7" s="42">
        <f>L7*H7</f>
        <v>9</v>
      </c>
      <c r="O7" s="41">
        <v>70</v>
      </c>
      <c r="P7" s="41">
        <v>50</v>
      </c>
      <c r="Q7" s="41">
        <v>50</v>
      </c>
      <c r="R7" s="41">
        <f>O7*P7*Q7*0.000001</f>
        <v>0.17499999999999999</v>
      </c>
      <c r="S7" s="41">
        <f>H7*R7</f>
        <v>0.17499999999999999</v>
      </c>
    </row>
    <row r="8" spans="1:19" ht="22.95" customHeight="1">
      <c r="A8" s="43"/>
      <c r="B8" s="41"/>
      <c r="C8" s="5" t="s">
        <v>80</v>
      </c>
      <c r="D8" s="5">
        <v>1</v>
      </c>
      <c r="E8" s="5">
        <v>1</v>
      </c>
      <c r="F8" s="5">
        <v>2</v>
      </c>
      <c r="G8" s="5">
        <f>SUM(D8:F8)</f>
        <v>4</v>
      </c>
      <c r="H8" s="41"/>
      <c r="I8" s="41"/>
      <c r="J8" s="41"/>
      <c r="K8" s="41"/>
      <c r="L8" s="41"/>
      <c r="M8" s="43"/>
      <c r="N8" s="43"/>
      <c r="O8" s="41"/>
      <c r="P8" s="41"/>
      <c r="Q8" s="41"/>
      <c r="R8" s="41"/>
      <c r="S8" s="41"/>
    </row>
    <row r="9" spans="1:19" ht="22.95" customHeight="1">
      <c r="A9" s="53" t="s">
        <v>58</v>
      </c>
      <c r="B9" s="54"/>
      <c r="C9" s="54"/>
      <c r="D9" s="54"/>
      <c r="E9" s="54"/>
      <c r="F9" s="54"/>
      <c r="G9" s="55"/>
      <c r="H9" s="5">
        <f>SUM(H5:H8)</f>
        <v>13</v>
      </c>
      <c r="I9" s="5"/>
      <c r="J9" s="5">
        <f>SUM(J5:J8)</f>
        <v>370</v>
      </c>
      <c r="K9" s="5"/>
      <c r="L9" s="5"/>
      <c r="M9" s="5">
        <f>SUM(M5:M8)</f>
        <v>346</v>
      </c>
      <c r="N9" s="5">
        <f>SUM(N5:N8)</f>
        <v>333</v>
      </c>
      <c r="O9" s="5"/>
      <c r="P9" s="5"/>
      <c r="Q9" s="5"/>
      <c r="R9" s="5"/>
      <c r="S9" s="5">
        <f>SUM(S5:S8)</f>
        <v>2.2749999999999999</v>
      </c>
    </row>
    <row r="10" spans="1:19" ht="1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ht="15" customHeight="1">
      <c r="A11" s="8" t="s">
        <v>82</v>
      </c>
      <c r="B11" s="9"/>
      <c r="C11" s="8" t="s">
        <v>83</v>
      </c>
      <c r="D11" s="10"/>
      <c r="E11" s="11"/>
      <c r="F11" s="12"/>
      <c r="G11" s="13" t="s">
        <v>84</v>
      </c>
      <c r="H11" s="11"/>
      <c r="I11" s="11"/>
      <c r="J11" s="46" t="s">
        <v>85</v>
      </c>
      <c r="K11" s="46"/>
      <c r="L11" s="46"/>
      <c r="M11" s="46"/>
      <c r="N11" s="46"/>
      <c r="O11" s="14"/>
      <c r="P11" s="14"/>
      <c r="Q11" s="12"/>
      <c r="R11" s="12"/>
      <c r="S11" s="12"/>
    </row>
    <row r="12" spans="1:19" ht="15" customHeight="1">
      <c r="A12" s="7"/>
      <c r="B12" s="7"/>
      <c r="C12" s="15" t="s">
        <v>86</v>
      </c>
      <c r="D12" s="7"/>
      <c r="E12" s="7"/>
      <c r="F12" s="47" t="s">
        <v>87</v>
      </c>
      <c r="G12" s="48"/>
      <c r="H12" s="48"/>
      <c r="I12" s="7"/>
      <c r="J12" s="47" t="s">
        <v>87</v>
      </c>
      <c r="K12" s="48"/>
      <c r="L12" s="48"/>
      <c r="M12" s="7"/>
      <c r="N12" s="7"/>
      <c r="O12" s="7"/>
      <c r="P12" s="7"/>
      <c r="Q12" s="7"/>
      <c r="R12" s="7"/>
      <c r="S12" s="7"/>
    </row>
    <row r="13" spans="1:19" ht="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ht="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ht="15.9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 spans="1:19" ht="15.9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 customFormat="1"/>
    <row r="18" customFormat="1"/>
    <row r="19" customFormat="1" ht="9" customHeight="1"/>
  </sheetData>
  <mergeCells count="50">
    <mergeCell ref="A1:S1"/>
    <mergeCell ref="D2:F2"/>
    <mergeCell ref="O2:Q2"/>
    <mergeCell ref="D3:F3"/>
    <mergeCell ref="A9:G9"/>
    <mergeCell ref="I7:I8"/>
    <mergeCell ref="J3:J4"/>
    <mergeCell ref="J5:J6"/>
    <mergeCell ref="J7:J8"/>
    <mergeCell ref="K3:K4"/>
    <mergeCell ref="K5:K6"/>
    <mergeCell ref="K7:K8"/>
    <mergeCell ref="L3:L4"/>
    <mergeCell ref="L5:L6"/>
    <mergeCell ref="L7:L8"/>
    <mergeCell ref="M3:M4"/>
    <mergeCell ref="J11:L11"/>
    <mergeCell ref="M11:N11"/>
    <mergeCell ref="F12:H12"/>
    <mergeCell ref="J12:L12"/>
    <mergeCell ref="A3:A4"/>
    <mergeCell ref="A5:A8"/>
    <mergeCell ref="B3:B4"/>
    <mergeCell ref="B5:B6"/>
    <mergeCell ref="B7:B8"/>
    <mergeCell ref="C3:C4"/>
    <mergeCell ref="G3:G4"/>
    <mergeCell ref="H3:H4"/>
    <mergeCell ref="H5:H6"/>
    <mergeCell ref="H7:H8"/>
    <mergeCell ref="I3:I4"/>
    <mergeCell ref="I5:I6"/>
    <mergeCell ref="M5:M6"/>
    <mergeCell ref="M7:M8"/>
    <mergeCell ref="N3:N4"/>
    <mergeCell ref="N5:N6"/>
    <mergeCell ref="N7:N8"/>
    <mergeCell ref="O3:Q4"/>
    <mergeCell ref="R3:R4"/>
    <mergeCell ref="R5:R6"/>
    <mergeCell ref="R7:R8"/>
    <mergeCell ref="S3:S4"/>
    <mergeCell ref="S5:S6"/>
    <mergeCell ref="S7:S8"/>
    <mergeCell ref="O5:O6"/>
    <mergeCell ref="O7:O8"/>
    <mergeCell ref="P5:P6"/>
    <mergeCell ref="P7:P8"/>
    <mergeCell ref="Q5:Q6"/>
    <mergeCell ref="Q7:Q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1"/>
  <sheetViews>
    <sheetView zoomScale="85" zoomScaleNormal="85" workbookViewId="0">
      <selection activeCell="A5" sqref="A5:A10"/>
    </sheetView>
  </sheetViews>
  <sheetFormatPr baseColWidth="10" defaultColWidth="9" defaultRowHeight="14.6"/>
  <cols>
    <col min="1" max="1" width="16.53515625" customWidth="1"/>
    <col min="2" max="2" width="14.84375" customWidth="1"/>
    <col min="3" max="3" width="15.07421875" customWidth="1"/>
    <col min="13" max="13" width="9.4609375" customWidth="1"/>
    <col min="14" max="14" width="9.69140625" customWidth="1"/>
    <col min="15" max="17" width="5.69140625" customWidth="1"/>
    <col min="18" max="18" width="14.07421875" customWidth="1"/>
  </cols>
  <sheetData>
    <row r="1" spans="1:19" ht="22.95" customHeight="1">
      <c r="A1" s="49" t="s">
        <v>59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s="1" customFormat="1" ht="22.95" customHeight="1">
      <c r="A2" s="2" t="s">
        <v>4</v>
      </c>
      <c r="B2" s="2" t="s">
        <v>8</v>
      </c>
      <c r="C2" s="2" t="s">
        <v>60</v>
      </c>
      <c r="D2" s="49" t="s">
        <v>61</v>
      </c>
      <c r="E2" s="49"/>
      <c r="F2" s="49"/>
      <c r="G2" s="2" t="s">
        <v>62</v>
      </c>
      <c r="H2" s="2" t="s">
        <v>9</v>
      </c>
      <c r="I2" s="2" t="s">
        <v>10</v>
      </c>
      <c r="J2" s="2" t="s">
        <v>63</v>
      </c>
      <c r="K2" s="2" t="s">
        <v>13</v>
      </c>
      <c r="L2" s="2" t="s">
        <v>14</v>
      </c>
      <c r="M2" s="2" t="s">
        <v>15</v>
      </c>
      <c r="N2" s="2" t="s">
        <v>16</v>
      </c>
      <c r="O2" s="50" t="s">
        <v>64</v>
      </c>
      <c r="P2" s="51"/>
      <c r="Q2" s="52"/>
      <c r="R2" s="2" t="s">
        <v>18</v>
      </c>
      <c r="S2" s="2" t="s">
        <v>19</v>
      </c>
    </row>
    <row r="3" spans="1:19" ht="22.95" customHeight="1">
      <c r="A3" s="45" t="s">
        <v>65</v>
      </c>
      <c r="B3" s="49" t="s">
        <v>66</v>
      </c>
      <c r="C3" s="45" t="s">
        <v>67</v>
      </c>
      <c r="D3" s="45" t="s">
        <v>68</v>
      </c>
      <c r="E3" s="45"/>
      <c r="F3" s="45"/>
      <c r="G3" s="44" t="s">
        <v>69</v>
      </c>
      <c r="H3" s="44" t="s">
        <v>70</v>
      </c>
      <c r="I3" s="44" t="s">
        <v>29</v>
      </c>
      <c r="J3" s="44" t="s">
        <v>71</v>
      </c>
      <c r="K3" s="44" t="s">
        <v>32</v>
      </c>
      <c r="L3" s="45" t="s">
        <v>33</v>
      </c>
      <c r="M3" s="44" t="s">
        <v>72</v>
      </c>
      <c r="N3" s="44" t="s">
        <v>73</v>
      </c>
      <c r="O3" s="34" t="s">
        <v>74</v>
      </c>
      <c r="P3" s="35"/>
      <c r="Q3" s="36"/>
      <c r="R3" s="40" t="s">
        <v>75</v>
      </c>
      <c r="S3" s="40" t="s">
        <v>38</v>
      </c>
    </row>
    <row r="4" spans="1:19" ht="22.95" customHeight="1">
      <c r="A4" s="45"/>
      <c r="B4" s="49"/>
      <c r="C4" s="45"/>
      <c r="D4" s="3" t="s">
        <v>76</v>
      </c>
      <c r="E4" s="3" t="s">
        <v>77</v>
      </c>
      <c r="F4" s="3" t="s">
        <v>78</v>
      </c>
      <c r="G4" s="44"/>
      <c r="H4" s="44"/>
      <c r="I4" s="44"/>
      <c r="J4" s="44"/>
      <c r="K4" s="44"/>
      <c r="L4" s="45"/>
      <c r="M4" s="45"/>
      <c r="N4" s="45"/>
      <c r="O4" s="37"/>
      <c r="P4" s="38"/>
      <c r="Q4" s="39"/>
      <c r="R4" s="40"/>
      <c r="S4" s="40"/>
    </row>
    <row r="5" spans="1:19" ht="22.95" customHeight="1">
      <c r="A5" s="42" t="s">
        <v>52</v>
      </c>
      <c r="B5" s="41" t="s">
        <v>56</v>
      </c>
      <c r="C5" s="5" t="s">
        <v>79</v>
      </c>
      <c r="D5" s="5">
        <v>4</v>
      </c>
      <c r="E5" s="5">
        <v>4</v>
      </c>
      <c r="F5" s="5">
        <v>4</v>
      </c>
      <c r="G5" s="5">
        <f t="shared" ref="G5:G10" si="0">SUM(D5:F5)</f>
        <v>12</v>
      </c>
      <c r="H5" s="41">
        <v>11</v>
      </c>
      <c r="I5" s="41">
        <f>SUM(G5:G7)</f>
        <v>30</v>
      </c>
      <c r="J5" s="41">
        <f>H5*I5</f>
        <v>330</v>
      </c>
      <c r="K5" s="41">
        <v>20</v>
      </c>
      <c r="L5" s="41">
        <v>19</v>
      </c>
      <c r="M5" s="42">
        <f>K5*H5</f>
        <v>220</v>
      </c>
      <c r="N5" s="42">
        <f>L5*H5</f>
        <v>209</v>
      </c>
      <c r="O5" s="41">
        <v>60</v>
      </c>
      <c r="P5" s="41">
        <v>50</v>
      </c>
      <c r="Q5" s="41">
        <v>50</v>
      </c>
      <c r="R5" s="41">
        <f>O5*P5*Q5*0.000001</f>
        <v>0.15</v>
      </c>
      <c r="S5" s="41">
        <f>H5*R5</f>
        <v>1.65</v>
      </c>
    </row>
    <row r="6" spans="1:19" ht="22.95" customHeight="1">
      <c r="A6" s="43"/>
      <c r="B6" s="41"/>
      <c r="C6" s="5" t="s">
        <v>80</v>
      </c>
      <c r="D6" s="5">
        <v>3</v>
      </c>
      <c r="E6" s="5">
        <v>3</v>
      </c>
      <c r="F6" s="5">
        <v>3</v>
      </c>
      <c r="G6" s="5">
        <f t="shared" si="0"/>
        <v>9</v>
      </c>
      <c r="H6" s="41"/>
      <c r="I6" s="41"/>
      <c r="J6" s="41"/>
      <c r="K6" s="41"/>
      <c r="L6" s="41"/>
      <c r="M6" s="43"/>
      <c r="N6" s="43"/>
      <c r="O6" s="41"/>
      <c r="P6" s="41"/>
      <c r="Q6" s="41"/>
      <c r="R6" s="41"/>
      <c r="S6" s="41"/>
    </row>
    <row r="7" spans="1:19" ht="22.95" customHeight="1">
      <c r="A7" s="43"/>
      <c r="B7" s="41"/>
      <c r="C7" s="5" t="s">
        <v>81</v>
      </c>
      <c r="D7" s="5">
        <v>3</v>
      </c>
      <c r="E7" s="5">
        <v>3</v>
      </c>
      <c r="F7" s="5">
        <v>3</v>
      </c>
      <c r="G7" s="5">
        <f t="shared" si="0"/>
        <v>9</v>
      </c>
      <c r="H7" s="41"/>
      <c r="I7" s="41"/>
      <c r="J7" s="41"/>
      <c r="K7" s="41"/>
      <c r="L7" s="41"/>
      <c r="M7" s="43"/>
      <c r="N7" s="43"/>
      <c r="O7" s="41"/>
      <c r="P7" s="41"/>
      <c r="Q7" s="41"/>
      <c r="R7" s="41"/>
      <c r="S7" s="41"/>
    </row>
    <row r="8" spans="1:19" ht="22.95" customHeight="1">
      <c r="A8" s="43"/>
      <c r="B8" s="41">
        <v>12</v>
      </c>
      <c r="C8" s="5" t="s">
        <v>79</v>
      </c>
      <c r="D8" s="5">
        <v>4</v>
      </c>
      <c r="E8" s="5">
        <v>4</v>
      </c>
      <c r="F8" s="5">
        <v>4</v>
      </c>
      <c r="G8" s="5">
        <f t="shared" si="0"/>
        <v>12</v>
      </c>
      <c r="H8" s="41">
        <v>1</v>
      </c>
      <c r="I8" s="41">
        <f>SUM(G8:G10)</f>
        <v>28</v>
      </c>
      <c r="J8" s="41">
        <f>H8*I8</f>
        <v>28</v>
      </c>
      <c r="K8" s="41">
        <v>19</v>
      </c>
      <c r="L8" s="41">
        <v>18</v>
      </c>
      <c r="M8" s="42">
        <f>K8*H8</f>
        <v>19</v>
      </c>
      <c r="N8" s="42">
        <f>L8*H8</f>
        <v>18</v>
      </c>
      <c r="O8" s="41">
        <v>60</v>
      </c>
      <c r="P8" s="41">
        <v>50</v>
      </c>
      <c r="Q8" s="41">
        <v>50</v>
      </c>
      <c r="R8" s="41">
        <f>O8*P8*Q8*0.000001</f>
        <v>0.15</v>
      </c>
      <c r="S8" s="41">
        <f>H8*R8</f>
        <v>0.15</v>
      </c>
    </row>
    <row r="9" spans="1:19" ht="22.95" customHeight="1">
      <c r="A9" s="43"/>
      <c r="B9" s="41"/>
      <c r="C9" s="5" t="s">
        <v>80</v>
      </c>
      <c r="D9" s="5">
        <v>3</v>
      </c>
      <c r="E9" s="5">
        <v>2</v>
      </c>
      <c r="F9" s="5">
        <v>3</v>
      </c>
      <c r="G9" s="5">
        <f t="shared" si="0"/>
        <v>8</v>
      </c>
      <c r="H9" s="41"/>
      <c r="I9" s="41"/>
      <c r="J9" s="41"/>
      <c r="K9" s="41"/>
      <c r="L9" s="41"/>
      <c r="M9" s="43"/>
      <c r="N9" s="43"/>
      <c r="O9" s="41"/>
      <c r="P9" s="41"/>
      <c r="Q9" s="41"/>
      <c r="R9" s="41"/>
      <c r="S9" s="41"/>
    </row>
    <row r="10" spans="1:19" ht="22.95" customHeight="1">
      <c r="A10" s="43"/>
      <c r="B10" s="42"/>
      <c r="C10" s="5" t="s">
        <v>81</v>
      </c>
      <c r="D10" s="4">
        <v>3</v>
      </c>
      <c r="E10" s="4">
        <v>2</v>
      </c>
      <c r="F10" s="4">
        <v>3</v>
      </c>
      <c r="G10" s="4">
        <f t="shared" si="0"/>
        <v>8</v>
      </c>
      <c r="H10" s="42"/>
      <c r="I10" s="42"/>
      <c r="J10" s="42"/>
      <c r="K10" s="42"/>
      <c r="L10" s="42"/>
      <c r="M10" s="43"/>
      <c r="N10" s="43"/>
      <c r="O10" s="41"/>
      <c r="P10" s="41"/>
      <c r="Q10" s="41"/>
      <c r="R10" s="42"/>
      <c r="S10" s="42"/>
    </row>
    <row r="11" spans="1:19" ht="22.95" customHeight="1">
      <c r="A11" s="53" t="s">
        <v>58</v>
      </c>
      <c r="B11" s="54"/>
      <c r="C11" s="54"/>
      <c r="D11" s="54"/>
      <c r="E11" s="54"/>
      <c r="F11" s="54"/>
      <c r="G11" s="55"/>
      <c r="H11" s="5">
        <f>SUM(H5:H10)</f>
        <v>12</v>
      </c>
      <c r="I11" s="5"/>
      <c r="J11" s="5">
        <f>SUM(J5:J10)</f>
        <v>358</v>
      </c>
      <c r="K11" s="5"/>
      <c r="L11" s="5"/>
      <c r="M11" s="5">
        <f>SUM(M5:M10)</f>
        <v>239</v>
      </c>
      <c r="N11" s="5">
        <f>SUM(N5:N10)</f>
        <v>227</v>
      </c>
      <c r="O11" s="5"/>
      <c r="P11" s="5"/>
      <c r="Q11" s="5"/>
      <c r="R11" s="5"/>
      <c r="S11" s="5">
        <f>SUM(S5:S10)</f>
        <v>1.8</v>
      </c>
    </row>
    <row r="12" spans="1:19" ht="1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5" customHeight="1">
      <c r="A13" s="8" t="s">
        <v>82</v>
      </c>
      <c r="B13" s="9"/>
      <c r="C13" s="8" t="s">
        <v>83</v>
      </c>
      <c r="D13" s="10"/>
      <c r="E13" s="11"/>
      <c r="F13" s="12"/>
      <c r="G13" s="13" t="s">
        <v>84</v>
      </c>
      <c r="H13" s="11"/>
      <c r="I13" s="11"/>
      <c r="J13" s="46" t="s">
        <v>85</v>
      </c>
      <c r="K13" s="46"/>
      <c r="L13" s="46"/>
      <c r="M13" s="46"/>
      <c r="N13" s="46"/>
      <c r="O13" s="14"/>
      <c r="P13" s="14"/>
      <c r="Q13" s="12"/>
      <c r="R13" s="12"/>
      <c r="S13" s="12"/>
    </row>
    <row r="14" spans="1:19" ht="15" customHeight="1">
      <c r="A14" s="7"/>
      <c r="B14" s="7"/>
      <c r="C14" s="15" t="s">
        <v>86</v>
      </c>
      <c r="D14" s="7"/>
      <c r="E14" s="7"/>
      <c r="F14" s="47" t="s">
        <v>87</v>
      </c>
      <c r="G14" s="48"/>
      <c r="H14" s="48"/>
      <c r="I14" s="7"/>
      <c r="J14" s="47" t="s">
        <v>87</v>
      </c>
      <c r="K14" s="48"/>
      <c r="L14" s="48"/>
      <c r="M14" s="7"/>
      <c r="N14" s="7"/>
      <c r="O14" s="7"/>
      <c r="P14" s="7"/>
      <c r="Q14" s="7"/>
      <c r="R14" s="7"/>
      <c r="S14" s="7"/>
    </row>
    <row r="15" spans="1:19" ht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ht="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ht="15.9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</row>
    <row r="18" spans="1:19" ht="15.9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21" spans="1:19" ht="9" customHeight="1"/>
  </sheetData>
  <mergeCells count="50">
    <mergeCell ref="A1:S1"/>
    <mergeCell ref="D2:F2"/>
    <mergeCell ref="O2:Q2"/>
    <mergeCell ref="D3:F3"/>
    <mergeCell ref="A11:G11"/>
    <mergeCell ref="I8:I10"/>
    <mergeCell ref="J3:J4"/>
    <mergeCell ref="J5:J7"/>
    <mergeCell ref="J8:J10"/>
    <mergeCell ref="K3:K4"/>
    <mergeCell ref="K5:K7"/>
    <mergeCell ref="K8:K10"/>
    <mergeCell ref="L3:L4"/>
    <mergeCell ref="L5:L7"/>
    <mergeCell ref="L8:L10"/>
    <mergeCell ref="M3:M4"/>
    <mergeCell ref="J13:L13"/>
    <mergeCell ref="M13:N13"/>
    <mergeCell ref="F14:H14"/>
    <mergeCell ref="J14:L14"/>
    <mergeCell ref="A3:A4"/>
    <mergeCell ref="A5:A10"/>
    <mergeCell ref="B3:B4"/>
    <mergeCell ref="B5:B7"/>
    <mergeCell ref="B8:B10"/>
    <mergeCell ref="C3:C4"/>
    <mergeCell ref="G3:G4"/>
    <mergeCell ref="H3:H4"/>
    <mergeCell ref="H5:H7"/>
    <mergeCell ref="H8:H10"/>
    <mergeCell ref="I3:I4"/>
    <mergeCell ref="I5:I7"/>
    <mergeCell ref="M5:M7"/>
    <mergeCell ref="M8:M10"/>
    <mergeCell ref="N3:N4"/>
    <mergeCell ref="N5:N7"/>
    <mergeCell ref="N8:N10"/>
    <mergeCell ref="O3:Q4"/>
    <mergeCell ref="R3:R4"/>
    <mergeCell ref="R5:R7"/>
    <mergeCell ref="R8:R10"/>
    <mergeCell ref="S3:S4"/>
    <mergeCell ref="S5:S7"/>
    <mergeCell ref="S8:S10"/>
    <mergeCell ref="O5:O7"/>
    <mergeCell ref="O8:O10"/>
    <mergeCell ref="P5:P7"/>
    <mergeCell ref="P8:P10"/>
    <mergeCell ref="Q5:Q7"/>
    <mergeCell ref="Q8:Q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1"/>
  <sheetViews>
    <sheetView tabSelected="1" zoomScale="85" zoomScaleNormal="85" workbookViewId="0">
      <selection activeCell="H11" sqref="H11"/>
    </sheetView>
  </sheetViews>
  <sheetFormatPr baseColWidth="10" defaultColWidth="9" defaultRowHeight="14.6"/>
  <cols>
    <col min="1" max="1" width="16.53515625" customWidth="1"/>
    <col min="2" max="2" width="14.84375" customWidth="1"/>
    <col min="3" max="3" width="15.07421875" customWidth="1"/>
    <col min="13" max="13" width="9.4609375" customWidth="1"/>
    <col min="14" max="14" width="9.69140625" customWidth="1"/>
    <col min="15" max="17" width="5.69140625" customWidth="1"/>
    <col min="18" max="18" width="14.07421875" customWidth="1"/>
  </cols>
  <sheetData>
    <row r="1" spans="1:19" ht="22.95" customHeight="1">
      <c r="A1" s="49" t="s">
        <v>59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s="1" customFormat="1" ht="22.95" customHeight="1">
      <c r="A2" s="2" t="s">
        <v>4</v>
      </c>
      <c r="B2" s="2" t="s">
        <v>8</v>
      </c>
      <c r="C2" s="2" t="s">
        <v>60</v>
      </c>
      <c r="D2" s="49" t="s">
        <v>61</v>
      </c>
      <c r="E2" s="49"/>
      <c r="F2" s="49"/>
      <c r="G2" s="2" t="s">
        <v>62</v>
      </c>
      <c r="H2" s="2" t="s">
        <v>9</v>
      </c>
      <c r="I2" s="2" t="s">
        <v>10</v>
      </c>
      <c r="J2" s="2" t="s">
        <v>63</v>
      </c>
      <c r="K2" s="2" t="s">
        <v>13</v>
      </c>
      <c r="L2" s="2" t="s">
        <v>14</v>
      </c>
      <c r="M2" s="2" t="s">
        <v>15</v>
      </c>
      <c r="N2" s="2" t="s">
        <v>16</v>
      </c>
      <c r="O2" s="50" t="s">
        <v>64</v>
      </c>
      <c r="P2" s="51"/>
      <c r="Q2" s="52"/>
      <c r="R2" s="2" t="s">
        <v>18</v>
      </c>
      <c r="S2" s="2" t="s">
        <v>19</v>
      </c>
    </row>
    <row r="3" spans="1:19" ht="22.95" customHeight="1">
      <c r="A3" s="45" t="s">
        <v>65</v>
      </c>
      <c r="B3" s="49" t="s">
        <v>66</v>
      </c>
      <c r="C3" s="45" t="s">
        <v>67</v>
      </c>
      <c r="D3" s="45" t="s">
        <v>68</v>
      </c>
      <c r="E3" s="45"/>
      <c r="F3" s="45"/>
      <c r="G3" s="44" t="s">
        <v>69</v>
      </c>
      <c r="H3" s="44" t="s">
        <v>70</v>
      </c>
      <c r="I3" s="44" t="s">
        <v>29</v>
      </c>
      <c r="J3" s="44" t="s">
        <v>71</v>
      </c>
      <c r="K3" s="44" t="s">
        <v>32</v>
      </c>
      <c r="L3" s="45" t="s">
        <v>33</v>
      </c>
      <c r="M3" s="44" t="s">
        <v>72</v>
      </c>
      <c r="N3" s="44" t="s">
        <v>73</v>
      </c>
      <c r="O3" s="34" t="s">
        <v>74</v>
      </c>
      <c r="P3" s="35"/>
      <c r="Q3" s="36"/>
      <c r="R3" s="40" t="s">
        <v>75</v>
      </c>
      <c r="S3" s="40" t="s">
        <v>38</v>
      </c>
    </row>
    <row r="4" spans="1:19" ht="22.95" customHeight="1">
      <c r="A4" s="45"/>
      <c r="B4" s="49"/>
      <c r="C4" s="45"/>
      <c r="D4" s="3" t="s">
        <v>76</v>
      </c>
      <c r="E4" s="3" t="s">
        <v>77</v>
      </c>
      <c r="F4" s="3" t="s">
        <v>78</v>
      </c>
      <c r="G4" s="44"/>
      <c r="H4" s="44"/>
      <c r="I4" s="44"/>
      <c r="J4" s="44"/>
      <c r="K4" s="44"/>
      <c r="L4" s="45"/>
      <c r="M4" s="45"/>
      <c r="N4" s="45"/>
      <c r="O4" s="37"/>
      <c r="P4" s="38"/>
      <c r="Q4" s="39"/>
      <c r="R4" s="40"/>
      <c r="S4" s="40"/>
    </row>
    <row r="5" spans="1:19" ht="22.95" customHeight="1">
      <c r="A5" s="42" t="s">
        <v>57</v>
      </c>
      <c r="B5" s="41" t="s">
        <v>56</v>
      </c>
      <c r="C5" s="5" t="s">
        <v>79</v>
      </c>
      <c r="D5" s="5">
        <v>4</v>
      </c>
      <c r="E5" s="5">
        <v>4</v>
      </c>
      <c r="F5" s="5">
        <v>4</v>
      </c>
      <c r="G5" s="5">
        <f t="shared" ref="G5:G10" si="0">SUM(D5:F5)</f>
        <v>12</v>
      </c>
      <c r="H5" s="41">
        <v>11</v>
      </c>
      <c r="I5" s="41">
        <f>SUM(G5:G7)</f>
        <v>30</v>
      </c>
      <c r="J5" s="41">
        <f>H5*I5</f>
        <v>330</v>
      </c>
      <c r="K5" s="41">
        <v>27</v>
      </c>
      <c r="L5" s="41">
        <v>26</v>
      </c>
      <c r="M5" s="42">
        <f>K5*H5</f>
        <v>297</v>
      </c>
      <c r="N5" s="42">
        <f>L5*H5</f>
        <v>286</v>
      </c>
      <c r="O5" s="41">
        <v>70</v>
      </c>
      <c r="P5" s="41">
        <v>50</v>
      </c>
      <c r="Q5" s="41">
        <v>50</v>
      </c>
      <c r="R5" s="41">
        <f>O5*P5*Q5*0.000001</f>
        <v>0.17499999999999999</v>
      </c>
      <c r="S5" s="41">
        <f>H5*R5</f>
        <v>1.925</v>
      </c>
    </row>
    <row r="6" spans="1:19" ht="22.95" customHeight="1">
      <c r="A6" s="43"/>
      <c r="B6" s="41"/>
      <c r="C6" s="5" t="s">
        <v>91</v>
      </c>
      <c r="D6" s="5">
        <v>3</v>
      </c>
      <c r="E6" s="5">
        <v>3</v>
      </c>
      <c r="F6" s="5">
        <v>3</v>
      </c>
      <c r="G6" s="5">
        <f t="shared" si="0"/>
        <v>9</v>
      </c>
      <c r="H6" s="41"/>
      <c r="I6" s="41"/>
      <c r="J6" s="41"/>
      <c r="K6" s="41"/>
      <c r="L6" s="41"/>
      <c r="M6" s="43"/>
      <c r="N6" s="43"/>
      <c r="O6" s="41"/>
      <c r="P6" s="41"/>
      <c r="Q6" s="41"/>
      <c r="R6" s="41"/>
      <c r="S6" s="41"/>
    </row>
    <row r="7" spans="1:19" ht="22.95" customHeight="1">
      <c r="A7" s="43"/>
      <c r="B7" s="41"/>
      <c r="C7" s="5" t="s">
        <v>92</v>
      </c>
      <c r="D7" s="5">
        <v>3</v>
      </c>
      <c r="E7" s="5">
        <v>3</v>
      </c>
      <c r="F7" s="5">
        <v>3</v>
      </c>
      <c r="G7" s="5">
        <f t="shared" si="0"/>
        <v>9</v>
      </c>
      <c r="H7" s="41"/>
      <c r="I7" s="41"/>
      <c r="J7" s="41"/>
      <c r="K7" s="41"/>
      <c r="L7" s="41"/>
      <c r="M7" s="43"/>
      <c r="N7" s="43"/>
      <c r="O7" s="41"/>
      <c r="P7" s="41"/>
      <c r="Q7" s="41"/>
      <c r="R7" s="41"/>
      <c r="S7" s="41"/>
    </row>
    <row r="8" spans="1:19" ht="22.95" customHeight="1">
      <c r="A8" s="43"/>
      <c r="B8" s="41">
        <v>12</v>
      </c>
      <c r="C8" s="5" t="s">
        <v>79</v>
      </c>
      <c r="D8" s="5">
        <v>2</v>
      </c>
      <c r="E8" s="5">
        <v>2</v>
      </c>
      <c r="F8" s="5">
        <v>2</v>
      </c>
      <c r="G8" s="5">
        <f t="shared" si="0"/>
        <v>6</v>
      </c>
      <c r="H8" s="41">
        <v>1</v>
      </c>
      <c r="I8" s="41">
        <f>SUM(G8:G10)</f>
        <v>16</v>
      </c>
      <c r="J8" s="41">
        <f>H8*I8</f>
        <v>16</v>
      </c>
      <c r="K8" s="41">
        <v>15</v>
      </c>
      <c r="L8" s="41">
        <v>14</v>
      </c>
      <c r="M8" s="42">
        <f>K8*H8</f>
        <v>15</v>
      </c>
      <c r="N8" s="42">
        <f>L8*H8</f>
        <v>14</v>
      </c>
      <c r="O8" s="41">
        <v>70</v>
      </c>
      <c r="P8" s="41">
        <v>50</v>
      </c>
      <c r="Q8" s="41">
        <v>50</v>
      </c>
      <c r="R8" s="41">
        <f>O8*P8*Q8*0.000001</f>
        <v>0.17499999999999999</v>
      </c>
      <c r="S8" s="41">
        <f>H8*R8</f>
        <v>0.17499999999999999</v>
      </c>
    </row>
    <row r="9" spans="1:19" ht="22.95" customHeight="1">
      <c r="A9" s="43"/>
      <c r="B9" s="41"/>
      <c r="C9" s="5" t="s">
        <v>91</v>
      </c>
      <c r="D9" s="5">
        <v>2</v>
      </c>
      <c r="E9" s="5">
        <v>2</v>
      </c>
      <c r="F9" s="5">
        <v>2</v>
      </c>
      <c r="G9" s="5">
        <f t="shared" si="0"/>
        <v>6</v>
      </c>
      <c r="H9" s="41"/>
      <c r="I9" s="41"/>
      <c r="J9" s="41"/>
      <c r="K9" s="41"/>
      <c r="L9" s="41"/>
      <c r="M9" s="43"/>
      <c r="N9" s="43"/>
      <c r="O9" s="41"/>
      <c r="P9" s="41"/>
      <c r="Q9" s="41"/>
      <c r="R9" s="41"/>
      <c r="S9" s="41"/>
    </row>
    <row r="10" spans="1:19" ht="22.95" customHeight="1">
      <c r="A10" s="43"/>
      <c r="B10" s="42"/>
      <c r="C10" s="5" t="s">
        <v>92</v>
      </c>
      <c r="D10" s="4">
        <v>1</v>
      </c>
      <c r="E10" s="4">
        <v>1</v>
      </c>
      <c r="F10" s="4">
        <v>2</v>
      </c>
      <c r="G10" s="4">
        <f t="shared" si="0"/>
        <v>4</v>
      </c>
      <c r="H10" s="42"/>
      <c r="I10" s="42"/>
      <c r="J10" s="42"/>
      <c r="K10" s="42"/>
      <c r="L10" s="42"/>
      <c r="M10" s="43"/>
      <c r="N10" s="43"/>
      <c r="O10" s="41"/>
      <c r="P10" s="41"/>
      <c r="Q10" s="41"/>
      <c r="R10" s="42"/>
      <c r="S10" s="42"/>
    </row>
    <row r="11" spans="1:19" ht="22.95" customHeight="1">
      <c r="A11" s="53" t="s">
        <v>58</v>
      </c>
      <c r="B11" s="54"/>
      <c r="C11" s="54"/>
      <c r="D11" s="54"/>
      <c r="E11" s="54"/>
      <c r="F11" s="54"/>
      <c r="G11" s="55"/>
      <c r="H11" s="5">
        <f>SUM(H5:H10)</f>
        <v>12</v>
      </c>
      <c r="I11" s="5"/>
      <c r="J11" s="5">
        <f>SUM(J5:J10)</f>
        <v>346</v>
      </c>
      <c r="K11" s="5"/>
      <c r="L11" s="5"/>
      <c r="M11" s="5">
        <f>SUM(M5:M10)</f>
        <v>312</v>
      </c>
      <c r="N11" s="5">
        <f>SUM(N5:N10)</f>
        <v>300</v>
      </c>
      <c r="O11" s="5"/>
      <c r="P11" s="5"/>
      <c r="Q11" s="5"/>
      <c r="R11" s="5"/>
      <c r="S11" s="5">
        <f>SUM(S5:S10)</f>
        <v>2.1</v>
      </c>
    </row>
    <row r="12" spans="1:19" ht="1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5" customHeight="1">
      <c r="A13" s="8" t="s">
        <v>82</v>
      </c>
      <c r="B13" s="9"/>
      <c r="C13" s="8" t="s">
        <v>83</v>
      </c>
      <c r="D13" s="10"/>
      <c r="E13" s="11"/>
      <c r="F13" s="12"/>
      <c r="G13" s="13" t="s">
        <v>84</v>
      </c>
      <c r="H13" s="11"/>
      <c r="I13" s="11"/>
      <c r="J13" s="46" t="s">
        <v>85</v>
      </c>
      <c r="K13" s="46"/>
      <c r="L13" s="46"/>
      <c r="M13" s="46"/>
      <c r="N13" s="46"/>
      <c r="O13" s="14"/>
      <c r="P13" s="14"/>
      <c r="Q13" s="12"/>
      <c r="R13" s="12"/>
      <c r="S13" s="12"/>
    </row>
    <row r="14" spans="1:19" ht="15" customHeight="1">
      <c r="A14" s="7"/>
      <c r="B14" s="7"/>
      <c r="C14" s="15" t="s">
        <v>86</v>
      </c>
      <c r="D14" s="7"/>
      <c r="E14" s="7"/>
      <c r="F14" s="47" t="s">
        <v>87</v>
      </c>
      <c r="G14" s="48"/>
      <c r="H14" s="48"/>
      <c r="I14" s="7"/>
      <c r="J14" s="47" t="s">
        <v>87</v>
      </c>
      <c r="K14" s="48"/>
      <c r="L14" s="48"/>
      <c r="M14" s="7"/>
      <c r="N14" s="7"/>
      <c r="O14" s="7"/>
      <c r="P14" s="7"/>
      <c r="Q14" s="7"/>
      <c r="R14" s="7"/>
      <c r="S14" s="7"/>
    </row>
    <row r="15" spans="1:19" ht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ht="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ht="15.9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</row>
    <row r="18" spans="1:19" ht="15.9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21" spans="1:19" ht="9" customHeight="1"/>
  </sheetData>
  <mergeCells count="50">
    <mergeCell ref="A1:S1"/>
    <mergeCell ref="D2:F2"/>
    <mergeCell ref="O2:Q2"/>
    <mergeCell ref="D3:F3"/>
    <mergeCell ref="A11:G11"/>
    <mergeCell ref="I8:I10"/>
    <mergeCell ref="J3:J4"/>
    <mergeCell ref="J5:J7"/>
    <mergeCell ref="J8:J10"/>
    <mergeCell ref="K3:K4"/>
    <mergeCell ref="K5:K7"/>
    <mergeCell ref="K8:K10"/>
    <mergeCell ref="L3:L4"/>
    <mergeCell ref="L5:L7"/>
    <mergeCell ref="L8:L10"/>
    <mergeCell ref="M3:M4"/>
    <mergeCell ref="J13:L13"/>
    <mergeCell ref="M13:N13"/>
    <mergeCell ref="F14:H14"/>
    <mergeCell ref="J14:L14"/>
    <mergeCell ref="A3:A4"/>
    <mergeCell ref="A5:A10"/>
    <mergeCell ref="B3:B4"/>
    <mergeCell ref="B5:B7"/>
    <mergeCell ref="B8:B10"/>
    <mergeCell ref="C3:C4"/>
    <mergeCell ref="G3:G4"/>
    <mergeCell ref="H3:H4"/>
    <mergeCell ref="H5:H7"/>
    <mergeCell ref="H8:H10"/>
    <mergeCell ref="I3:I4"/>
    <mergeCell ref="I5:I7"/>
    <mergeCell ref="M5:M7"/>
    <mergeCell ref="M8:M10"/>
    <mergeCell ref="N3:N4"/>
    <mergeCell ref="N5:N7"/>
    <mergeCell ref="N8:N10"/>
    <mergeCell ref="O3:Q4"/>
    <mergeCell ref="R3:R4"/>
    <mergeCell ref="R5:R7"/>
    <mergeCell ref="R8:R10"/>
    <mergeCell ref="S3:S4"/>
    <mergeCell ref="S5:S7"/>
    <mergeCell ref="S8:S10"/>
    <mergeCell ref="O5:O7"/>
    <mergeCell ref="O8:O10"/>
    <mergeCell ref="P5:P7"/>
    <mergeCell ref="P8:P10"/>
    <mergeCell ref="Q5:Q7"/>
    <mergeCell ref="Q8:Q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装箱单</vt:lpstr>
      <vt:lpstr>OE26 01MA</vt:lpstr>
      <vt:lpstr>OE26 02MA</vt:lpstr>
      <vt:lpstr>OE26 03MA</vt:lpstr>
      <vt:lpstr>OE26 O4MV</vt:lpstr>
      <vt:lpstr>OE26 O5MA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Hunab Cuenta</cp:lastModifiedBy>
  <cp:lastPrinted>2024-06-05T09:44:00Z</cp:lastPrinted>
  <dcterms:created xsi:type="dcterms:W3CDTF">2024-06-04T15:08:00Z</dcterms:created>
  <dcterms:modified xsi:type="dcterms:W3CDTF">2026-10-06T19:21:05Z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5F9D274219914E2984E6B01DB3876C44_13</vt:lpwstr>
  </property>
  <property fmtid="{D5CDD505-2E9C-101B-9397-08002B2CF9AE}" pid="3" name="KSOProductBuildVer">
    <vt:lpwstr>2052-12.1.3.28048</vt:lpwstr>
  </property>
  <property fmtid="{D5CDD505-2E9C-101B-9397-08002B2CF9AE}" pid="4" name="CalculationRule">
    <vt:i4>0</vt:i4>
  </property>
</Properties>
</file>