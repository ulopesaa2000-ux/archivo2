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riel\Downloads\providers\"/>
    </mc:Choice>
  </mc:AlternateContent>
  <xr:revisionPtr revIDLastSave="0" documentId="13_ncr:1_{705B818E-9113-45B4-81E6-C1014B876033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装箱单" sheetId="1" r:id="rId1"/>
    <sheet name="HO2609HC" sheetId="7" r:id="rId2"/>
    <sheet name="HO2601HC" sheetId="8" r:id="rId3"/>
    <sheet name="HO2603HC" sheetId="9" r:id="rId4"/>
    <sheet name="H02602HC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1" l="1"/>
  <c r="Y8" i="1"/>
  <c r="Y6" i="1"/>
  <c r="Y4" i="1"/>
  <c r="J8" i="11"/>
  <c r="J7" i="11"/>
  <c r="J6" i="11"/>
  <c r="J5" i="11"/>
  <c r="V3" i="11"/>
  <c r="U3" i="11"/>
  <c r="Q3" i="11"/>
  <c r="P3" i="11"/>
  <c r="J8" i="9"/>
  <c r="J7" i="9"/>
  <c r="J6" i="9"/>
  <c r="J5" i="9"/>
  <c r="V3" i="9"/>
  <c r="U3" i="9"/>
  <c r="Q3" i="9"/>
  <c r="P3" i="9"/>
  <c r="M3" i="9"/>
  <c r="J8" i="8"/>
  <c r="J7" i="8"/>
  <c r="J6" i="8"/>
  <c r="J5" i="8"/>
  <c r="V3" i="8"/>
  <c r="U3" i="8"/>
  <c r="Q3" i="8"/>
  <c r="P3" i="8"/>
  <c r="M3" i="8"/>
  <c r="J7" i="7"/>
  <c r="J6" i="7"/>
  <c r="J5" i="7"/>
  <c r="Q3" i="7"/>
  <c r="P3" i="7"/>
  <c r="M3" i="7"/>
  <c r="I26" i="1"/>
  <c r="T25" i="1"/>
  <c r="U25" i="1" s="1"/>
  <c r="P25" i="1"/>
  <c r="O25" i="1"/>
  <c r="K25" i="1"/>
  <c r="T24" i="1"/>
  <c r="U24" i="1" s="1"/>
  <c r="P24" i="1"/>
  <c r="O24" i="1"/>
  <c r="K24" i="1"/>
  <c r="T23" i="1"/>
  <c r="U23" i="1" s="1"/>
  <c r="P23" i="1"/>
  <c r="O23" i="1"/>
  <c r="K23" i="1"/>
  <c r="T22" i="1"/>
  <c r="U22" i="1" s="1"/>
  <c r="P22" i="1"/>
  <c r="O22" i="1"/>
  <c r="K22" i="1"/>
  <c r="T21" i="1"/>
  <c r="U21" i="1" s="1"/>
  <c r="P21" i="1"/>
  <c r="O21" i="1"/>
  <c r="K21" i="1"/>
  <c r="T20" i="1"/>
  <c r="U20" i="1" s="1"/>
  <c r="P20" i="1"/>
  <c r="O20" i="1"/>
  <c r="K20" i="1"/>
  <c r="L20" i="1" s="1"/>
  <c r="W20" i="1" s="1"/>
  <c r="Y20" i="1" s="1"/>
  <c r="T19" i="1"/>
  <c r="U19" i="1" s="1"/>
  <c r="P19" i="1"/>
  <c r="O19" i="1"/>
  <c r="K19" i="1"/>
  <c r="T18" i="1"/>
  <c r="U18" i="1" s="1"/>
  <c r="P18" i="1"/>
  <c r="O18" i="1"/>
  <c r="K18" i="1"/>
  <c r="L18" i="1" s="1"/>
  <c r="W18" i="1" s="1"/>
  <c r="Y18" i="1" s="1"/>
  <c r="T17" i="1"/>
  <c r="U17" i="1" s="1"/>
  <c r="P17" i="1"/>
  <c r="O17" i="1"/>
  <c r="K17" i="1"/>
  <c r="T16" i="1"/>
  <c r="U16" i="1" s="1"/>
  <c r="P16" i="1"/>
  <c r="O16" i="1"/>
  <c r="K16" i="1"/>
  <c r="T15" i="1"/>
  <c r="U15" i="1" s="1"/>
  <c r="P15" i="1"/>
  <c r="O15" i="1"/>
  <c r="K15" i="1"/>
  <c r="T14" i="1"/>
  <c r="U14" i="1" s="1"/>
  <c r="P14" i="1"/>
  <c r="O14" i="1"/>
  <c r="K14" i="1"/>
  <c r="L14" i="1" s="1"/>
  <c r="W14" i="1" s="1"/>
  <c r="Y14" i="1" s="1"/>
  <c r="T13" i="1"/>
  <c r="U13" i="1" s="1"/>
  <c r="P13" i="1"/>
  <c r="O13" i="1"/>
  <c r="K13" i="1"/>
  <c r="T12" i="1"/>
  <c r="U12" i="1" s="1"/>
  <c r="P12" i="1"/>
  <c r="O12" i="1"/>
  <c r="K12" i="1"/>
  <c r="L12" i="1" s="1"/>
  <c r="W12" i="1" s="1"/>
  <c r="Y12" i="1" s="1"/>
  <c r="T11" i="1"/>
  <c r="U11" i="1" s="1"/>
  <c r="P11" i="1"/>
  <c r="O11" i="1"/>
  <c r="K11" i="1"/>
  <c r="T10" i="1"/>
  <c r="U10" i="1" s="1"/>
  <c r="P10" i="1"/>
  <c r="O10" i="1"/>
  <c r="K10" i="1"/>
  <c r="T9" i="1"/>
  <c r="U9" i="1" s="1"/>
  <c r="P9" i="1"/>
  <c r="O9" i="1"/>
  <c r="K9" i="1"/>
  <c r="T8" i="1"/>
  <c r="U8" i="1" s="1"/>
  <c r="P8" i="1"/>
  <c r="O8" i="1"/>
  <c r="K8" i="1"/>
  <c r="L8" i="1" s="1"/>
  <c r="W8" i="1" s="1"/>
  <c r="T7" i="1"/>
  <c r="U7" i="1" s="1"/>
  <c r="P7" i="1"/>
  <c r="O7" i="1"/>
  <c r="K7" i="1"/>
  <c r="T6" i="1"/>
  <c r="U6" i="1" s="1"/>
  <c r="P6" i="1"/>
  <c r="O6" i="1"/>
  <c r="K6" i="1"/>
  <c r="L6" i="1" s="1"/>
  <c r="W6" i="1" s="1"/>
  <c r="T5" i="1"/>
  <c r="U5" i="1" s="1"/>
  <c r="P5" i="1"/>
  <c r="O5" i="1"/>
  <c r="K5" i="1"/>
  <c r="T4" i="1"/>
  <c r="U4" i="1" s="1"/>
  <c r="P4" i="1"/>
  <c r="O4" i="1"/>
  <c r="K4" i="1"/>
  <c r="O26" i="1" l="1"/>
  <c r="P26" i="1"/>
  <c r="L4" i="1"/>
  <c r="W4" i="1" s="1"/>
  <c r="L10" i="1"/>
  <c r="W10" i="1" s="1"/>
  <c r="L16" i="1"/>
  <c r="W16" i="1" s="1"/>
  <c r="Y16" i="1" s="1"/>
  <c r="L22" i="1"/>
  <c r="W22" i="1" s="1"/>
  <c r="Y22" i="1" s="1"/>
  <c r="U26" i="1"/>
  <c r="K26" i="1"/>
  <c r="L24" i="1"/>
  <c r="W24" i="1" l="1"/>
  <c r="L26" i="1"/>
  <c r="W26" i="1" l="1"/>
  <c r="Y24" i="1"/>
  <c r="Y26" i="1" s="1"/>
</calcChain>
</file>

<file path=xl/sharedStrings.xml><?xml version="1.0" encoding="utf-8"?>
<sst xmlns="http://schemas.openxmlformats.org/spreadsheetml/2006/main" count="210" uniqueCount="90">
  <si>
    <t>Packing List</t>
  </si>
  <si>
    <r>
      <rPr>
        <sz val="12"/>
        <color theme="1"/>
        <rFont val="宋体"/>
        <charset val="134"/>
      </rPr>
      <t>供应商</t>
    </r>
  </si>
  <si>
    <r>
      <rPr>
        <sz val="12"/>
        <rFont val="宋体"/>
        <charset val="134"/>
      </rPr>
      <t>唛头</t>
    </r>
  </si>
  <si>
    <r>
      <rPr>
        <sz val="12"/>
        <rFont val="宋体"/>
        <charset val="134"/>
      </rPr>
      <t>英文成份</t>
    </r>
  </si>
  <si>
    <r>
      <rPr>
        <sz val="12"/>
        <rFont val="宋体"/>
        <charset val="134"/>
      </rPr>
      <t>款号</t>
    </r>
  </si>
  <si>
    <r>
      <rPr>
        <sz val="12"/>
        <rFont val="宋体"/>
        <charset val="134"/>
      </rPr>
      <t>西班牙文品名</t>
    </r>
  </si>
  <si>
    <r>
      <rPr>
        <sz val="12"/>
        <rFont val="宋体"/>
        <charset val="134"/>
      </rPr>
      <t>中文品名</t>
    </r>
  </si>
  <si>
    <r>
      <rPr>
        <sz val="12"/>
        <rFont val="宋体"/>
        <charset val="134"/>
      </rPr>
      <t>英文品名</t>
    </r>
  </si>
  <si>
    <r>
      <rPr>
        <sz val="12"/>
        <rFont val="宋体"/>
        <charset val="134"/>
      </rPr>
      <t>箱号</t>
    </r>
  </si>
  <si>
    <r>
      <rPr>
        <sz val="12"/>
        <rFont val="宋体"/>
        <charset val="134"/>
      </rPr>
      <t>箱数</t>
    </r>
  </si>
  <si>
    <r>
      <rPr>
        <sz val="12"/>
        <rFont val="宋体"/>
        <charset val="134"/>
      </rPr>
      <t>件</t>
    </r>
    <r>
      <rPr>
        <sz val="12"/>
        <rFont val="Arial"/>
        <charset val="134"/>
      </rPr>
      <t>/</t>
    </r>
    <r>
      <rPr>
        <sz val="12"/>
        <rFont val="宋体"/>
        <charset val="134"/>
      </rPr>
      <t>箱</t>
    </r>
  </si>
  <si>
    <t>件数</t>
  </si>
  <si>
    <t>总件数</t>
  </si>
  <si>
    <r>
      <rPr>
        <sz val="12"/>
        <rFont val="宋体"/>
        <charset val="134"/>
      </rPr>
      <t>毛重</t>
    </r>
    <r>
      <rPr>
        <sz val="12"/>
        <rFont val="Arial"/>
        <charset val="134"/>
      </rPr>
      <t>kg</t>
    </r>
  </si>
  <si>
    <r>
      <rPr>
        <sz val="12"/>
        <rFont val="宋体"/>
        <charset val="134"/>
      </rPr>
      <t>净重</t>
    </r>
    <r>
      <rPr>
        <sz val="12"/>
        <rFont val="Arial"/>
        <charset val="134"/>
      </rPr>
      <t>kg</t>
    </r>
  </si>
  <si>
    <r>
      <rPr>
        <sz val="12"/>
        <rFont val="宋体"/>
        <charset val="134"/>
      </rPr>
      <t>总毛重</t>
    </r>
    <r>
      <rPr>
        <sz val="12"/>
        <rFont val="Arial"/>
        <charset val="134"/>
      </rPr>
      <t>kg</t>
    </r>
  </si>
  <si>
    <r>
      <rPr>
        <sz val="12"/>
        <rFont val="宋体"/>
        <charset val="134"/>
      </rPr>
      <t>总净重</t>
    </r>
    <r>
      <rPr>
        <sz val="12"/>
        <rFont val="Arial"/>
        <charset val="134"/>
      </rPr>
      <t>kg</t>
    </r>
  </si>
  <si>
    <r>
      <rPr>
        <sz val="12"/>
        <rFont val="宋体"/>
        <charset val="134"/>
      </rPr>
      <t>箱规（</t>
    </r>
    <r>
      <rPr>
        <sz val="12"/>
        <rFont val="Arial"/>
        <charset val="134"/>
      </rPr>
      <t>cm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</si>
  <si>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每箱立方</t>
    </r>
    <r>
      <rPr>
        <sz val="12"/>
        <rFont val="Arial"/>
        <charset val="134"/>
      </rPr>
      <t xml:space="preserve"> m³</t>
    </r>
  </si>
  <si>
    <r>
      <rPr>
        <sz val="12"/>
        <rFont val="宋体"/>
        <charset val="134"/>
      </rPr>
      <t>立方</t>
    </r>
    <r>
      <rPr>
        <sz val="12"/>
        <rFont val="Arial"/>
        <charset val="134"/>
      </rPr>
      <t xml:space="preserve"> m³</t>
    </r>
  </si>
  <si>
    <t>单价</t>
  </si>
  <si>
    <t>总价</t>
  </si>
  <si>
    <t>Supplier</t>
  </si>
  <si>
    <t>Brand</t>
  </si>
  <si>
    <t>Composition</t>
  </si>
  <si>
    <t>Style No.</t>
  </si>
  <si>
    <t>Item</t>
  </si>
  <si>
    <t>Ctn No.</t>
  </si>
  <si>
    <t>Ctns</t>
  </si>
  <si>
    <t>pc/ctn</t>
  </si>
  <si>
    <t>qty</t>
  </si>
  <si>
    <t>total qty</t>
  </si>
  <si>
    <t>G.W</t>
  </si>
  <si>
    <t>N.W</t>
  </si>
  <si>
    <t>TOTAL 
G.W</t>
  </si>
  <si>
    <t>TOTAL
N.W</t>
  </si>
  <si>
    <t>means(cm)</t>
  </si>
  <si>
    <t>cbm / ctn</t>
  </si>
  <si>
    <t>CBM</t>
  </si>
  <si>
    <t>Price</t>
  </si>
  <si>
    <t>Amount</t>
  </si>
  <si>
    <t xml:space="preserve">TORONTO UTILITY </t>
  </si>
  <si>
    <t>shell:100% POLYSTLER
filler:100% polyester
lining: 100% polyester</t>
  </si>
  <si>
    <t>HO26/09HC</t>
  </si>
  <si>
    <t>MEN JACKET</t>
  </si>
  <si>
    <t>男仕夹克
（内加针棉）</t>
  </si>
  <si>
    <t>1-48</t>
  </si>
  <si>
    <t>HO26/01HC</t>
  </si>
  <si>
    <t>1-42</t>
  </si>
  <si>
    <t>shell:100% POLIURETANO
lining:100% polyester</t>
  </si>
  <si>
    <t>HO26/03HC</t>
  </si>
  <si>
    <t>男仕夹克</t>
  </si>
  <si>
    <t>1-18#</t>
  </si>
  <si>
    <t>HO26/02HC</t>
  </si>
  <si>
    <t>1-20#</t>
  </si>
  <si>
    <t>TOTAL</t>
  </si>
  <si>
    <t xml:space="preserve">Packing list </t>
  </si>
  <si>
    <r>
      <rPr>
        <sz val="12"/>
        <rFont val="宋体"/>
        <charset val="134"/>
      </rPr>
      <t>颜色</t>
    </r>
  </si>
  <si>
    <r>
      <rPr>
        <sz val="12"/>
        <rFont val="宋体"/>
        <charset val="134"/>
      </rPr>
      <t>规格</t>
    </r>
  </si>
  <si>
    <r>
      <rPr>
        <sz val="12"/>
        <rFont val="宋体"/>
        <charset val="134"/>
      </rPr>
      <t>件数</t>
    </r>
  </si>
  <si>
    <r>
      <rPr>
        <sz val="12"/>
        <rFont val="宋体"/>
        <charset val="134"/>
      </rPr>
      <t>总件数</t>
    </r>
  </si>
  <si>
    <r>
      <rPr>
        <sz val="12"/>
        <rFont val="宋体"/>
        <charset val="134"/>
      </rPr>
      <t>箱规</t>
    </r>
    <r>
      <rPr>
        <sz val="12"/>
        <rFont val="宋体"/>
        <charset val="134"/>
      </rPr>
      <t>（</t>
    </r>
    <r>
      <rPr>
        <sz val="12"/>
        <rFont val="Arial"/>
        <charset val="134"/>
      </rPr>
      <t>cm</t>
    </r>
    <r>
      <rPr>
        <sz val="12"/>
        <rFont val="宋体"/>
        <charset val="134"/>
      </rPr>
      <t>）</t>
    </r>
  </si>
  <si>
    <t>工厂号码</t>
  </si>
  <si>
    <t>客户号码</t>
  </si>
  <si>
    <t>CH</t>
  </si>
  <si>
    <t>M</t>
  </si>
  <si>
    <t>G</t>
  </si>
  <si>
    <t>EG</t>
  </si>
  <si>
    <t>2EG</t>
  </si>
  <si>
    <t>BLACK 4</t>
  </si>
  <si>
    <t>COFFEE 3</t>
  </si>
  <si>
    <t>MILITAR 1</t>
  </si>
  <si>
    <t>衣服图片</t>
  </si>
  <si>
    <t>主标和吊牌</t>
  </si>
  <si>
    <t>洗水标（可以截图电子版）</t>
  </si>
  <si>
    <t>箱唛（可以截图电子版）</t>
  </si>
  <si>
    <t>BLACK</t>
  </si>
  <si>
    <t>NAVY</t>
  </si>
  <si>
    <t>GREEN</t>
  </si>
  <si>
    <t>KHAKI</t>
  </si>
  <si>
    <t>XL</t>
  </si>
  <si>
    <t>2XL</t>
  </si>
  <si>
    <t>3XL</t>
  </si>
  <si>
    <t>BROWN</t>
  </si>
  <si>
    <t>DESCRIPCION</t>
  </si>
  <si>
    <t xml:space="preserve">CHAMARRA CON FUR EN CUELLO  PARA CABALLERO </t>
  </si>
  <si>
    <t xml:space="preserve">CHAMARRA CANVAS PARA CABALLERO </t>
  </si>
  <si>
    <t>CHAMARRA VINIPIEL TEXTURA ATERCIOPELADA</t>
  </si>
  <si>
    <t xml:space="preserve">CHAMARRA VINIPIEL TEXTURA ATERCIOPELADA </t>
  </si>
  <si>
    <t>Amount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</si>
</sst>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&quot;￥&quot;* #,##0.00_ ;_ &quot;￥&quot;* \-#,##0.00_ ;_ &quot;￥&quot;* &quot;-&quot;??_ ;_ @_ "/>
    <numFmt numFmtId="165" formatCode="0.00_);[Red]\(0.00\)"/>
    <numFmt numFmtId="166" formatCode="\¥#,##0.00_);\(\¥#,##0.00\)"/>
    <numFmt numFmtId="167" formatCode="yyyy&quot;年&quot;m&quot;月&quot;d&quot;日&quot;;@"/>
    <numFmt numFmtId="168" formatCode="_-[$$-409]* #,##0.00_ ;_-[$$-409]* \-#,##0.00\ ;_-[$$-409]* &quot;-&quot;??_ ;_-@_ "/>
  </numFmts>
  <fonts count="14">
    <font>
      <sz val="11"/>
      <color theme="1"/>
      <name val="Calibri"/>
      <charset val="134"/>
      <scheme val="minor"/>
    </font>
    <font>
      <sz val="12"/>
      <name val="Arial"/>
      <charset val="134"/>
    </font>
    <font>
      <b/>
      <sz val="8"/>
      <color theme="1"/>
      <name val="Arial"/>
      <charset val="134"/>
    </font>
    <font>
      <b/>
      <sz val="8"/>
      <color theme="1"/>
      <name val="书宋-简"/>
      <charset val="134"/>
    </font>
    <font>
      <b/>
      <sz val="11"/>
      <name val="Calibri"/>
      <charset val="134"/>
      <scheme val="minor"/>
    </font>
    <font>
      <sz val="8"/>
      <color theme="1"/>
      <name val="Arial"/>
      <charset val="134"/>
    </font>
    <font>
      <sz val="12"/>
      <name val="宋体"/>
      <charset val="134"/>
    </font>
    <font>
      <sz val="12"/>
      <color theme="1"/>
      <name val="Arial"/>
      <charset val="134"/>
    </font>
    <font>
      <sz val="12"/>
      <color theme="1"/>
      <name val="Calibri"/>
      <charset val="134"/>
      <scheme val="minor"/>
    </font>
    <font>
      <sz val="12"/>
      <color theme="1"/>
      <name val="宋体"/>
      <charset val="134"/>
    </font>
    <font>
      <sz val="12"/>
      <name val="微软雅黑"/>
      <charset val="134"/>
    </font>
    <font>
      <b/>
      <sz val="12"/>
      <color theme="1"/>
      <name val="Calibri"/>
      <charset val="134"/>
      <scheme val="minor"/>
    </font>
    <font>
      <sz val="10"/>
      <name val="Verdana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164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6" fillId="0" borderId="0">
      <alignment vertical="center"/>
    </xf>
  </cellStyleXfs>
  <cellXfs count="86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6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49" fontId="1" fillId="0" borderId="1" xfId="3" applyNumberFormat="1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 wrapText="1"/>
    </xf>
    <xf numFmtId="0" fontId="1" fillId="0" borderId="4" xfId="3" applyFont="1" applyBorder="1" applyAlignment="1">
      <alignment horizontal="center" vertical="center" wrapText="1"/>
    </xf>
    <xf numFmtId="0" fontId="6" fillId="0" borderId="1" xfId="3" applyBorder="1" applyAlignment="1">
      <alignment horizontal="center" vertical="center"/>
    </xf>
    <xf numFmtId="165" fontId="1" fillId="0" borderId="1" xfId="3" applyNumberFormat="1" applyFont="1" applyBorder="1" applyAlignment="1">
      <alignment horizontal="center" vertical="center"/>
    </xf>
    <xf numFmtId="166" fontId="6" fillId="0" borderId="1" xfId="3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1" xfId="3" applyNumberFormat="1" applyFont="1" applyBorder="1" applyAlignment="1">
      <alignment horizontal="center" vertical="center"/>
    </xf>
    <xf numFmtId="166" fontId="1" fillId="0" borderId="1" xfId="3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68" fontId="1" fillId="0" borderId="0" xfId="1" applyNumberFormat="1" applyFont="1" applyBorder="1" applyAlignment="1">
      <alignment horizontal="center" vertical="center"/>
    </xf>
    <xf numFmtId="168" fontId="9" fillId="0" borderId="1" xfId="1" applyNumberFormat="1" applyFont="1" applyBorder="1" applyAlignment="1">
      <alignment horizontal="center" vertical="center"/>
    </xf>
    <xf numFmtId="168" fontId="7" fillId="0" borderId="1" xfId="1" applyNumberFormat="1" applyFont="1" applyBorder="1" applyAlignment="1">
      <alignment horizontal="center" vertical="center"/>
    </xf>
    <xf numFmtId="168" fontId="7" fillId="4" borderId="1" xfId="1" applyNumberFormat="1" applyFont="1" applyFill="1" applyBorder="1" applyAlignment="1">
      <alignment horizontal="center" vertical="center"/>
    </xf>
    <xf numFmtId="168" fontId="8" fillId="0" borderId="0" xfId="1" applyNumberFormat="1" applyFont="1" applyAlignment="1">
      <alignment horizontal="center" vertical="center"/>
    </xf>
    <xf numFmtId="168" fontId="6" fillId="0" borderId="1" xfId="1" applyNumberFormat="1" applyFont="1" applyBorder="1" applyAlignment="1">
      <alignment horizontal="center" vertical="center"/>
    </xf>
    <xf numFmtId="168" fontId="1" fillId="0" borderId="1" xfId="1" applyNumberFormat="1" applyFont="1" applyBorder="1" applyAlignment="1">
      <alignment horizontal="center" vertical="center"/>
    </xf>
    <xf numFmtId="168" fontId="7" fillId="0" borderId="0" xfId="1" applyNumberFormat="1" applyFont="1">
      <alignment vertical="center"/>
    </xf>
    <xf numFmtId="168" fontId="8" fillId="0" borderId="0" xfId="1" applyNumberFormat="1" applyFont="1">
      <alignment vertical="center"/>
    </xf>
    <xf numFmtId="168" fontId="7" fillId="0" borderId="1" xfId="1" applyNumberFormat="1" applyFont="1" applyBorder="1" applyAlignment="1">
      <alignment horizontal="center" vertical="center"/>
    </xf>
    <xf numFmtId="168" fontId="10" fillId="0" borderId="7" xfId="1" applyNumberFormat="1" applyFont="1" applyBorder="1" applyAlignment="1">
      <alignment horizontal="center" vertical="center"/>
    </xf>
    <xf numFmtId="168" fontId="10" fillId="0" borderId="8" xfId="1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5" xfId="3" applyFont="1" applyBorder="1" applyAlignment="1">
      <alignment horizontal="center" vertical="center"/>
    </xf>
    <xf numFmtId="0" fontId="1" fillId="0" borderId="6" xfId="3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">
    <cellStyle name="Moneda" xfId="1" builtinId="4"/>
    <cellStyle name="Normal" xfId="0" builtinId="0"/>
    <cellStyle name="Normal 3" xfId="2" xr:uid="{00000000-0005-0000-0000-000031000000}"/>
    <cellStyle name="常规_packing 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3190" y="0"/>
          <a:ext cx="253492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005" y="0"/>
          <a:ext cx="208089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005" y="0"/>
          <a:ext cx="208089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005" y="0"/>
          <a:ext cx="20808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005" y="0"/>
          <a:ext cx="208089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005" y="0"/>
          <a:ext cx="20808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005" y="0"/>
          <a:ext cx="208089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0"/>
  <sheetViews>
    <sheetView tabSelected="1" zoomScale="90" zoomScaleNormal="90" workbookViewId="0">
      <selection activeCell="E10" sqref="E10:E11"/>
    </sheetView>
  </sheetViews>
  <sheetFormatPr baseColWidth="10" defaultColWidth="8.84375" defaultRowHeight="15.9"/>
  <cols>
    <col min="1" max="1" width="27.3046875" style="28" customWidth="1"/>
    <col min="2" max="2" width="21.07421875" style="28" customWidth="1"/>
    <col min="3" max="3" width="27" style="29" customWidth="1"/>
    <col min="4" max="4" width="14.23046875" style="29" customWidth="1"/>
    <col min="5" max="5" width="19.3046875" style="29" customWidth="1"/>
    <col min="6" max="6" width="15.23046875" style="29" customWidth="1"/>
    <col min="7" max="7" width="17.23046875" style="29" customWidth="1"/>
    <col min="8" max="8" width="10.4609375" style="29" customWidth="1"/>
    <col min="9" max="9" width="10.3046875" style="29" customWidth="1"/>
    <col min="10" max="10" width="8.84375" style="28"/>
    <col min="11" max="11" width="8.84375" style="29"/>
    <col min="12" max="12" width="8.84375" style="29" customWidth="1"/>
    <col min="13" max="14" width="8.84375" style="29"/>
    <col min="15" max="15" width="13.4609375" style="29" customWidth="1"/>
    <col min="16" max="16" width="10.4609375" style="29" customWidth="1"/>
    <col min="17" max="19" width="8.84375" style="29"/>
    <col min="20" max="20" width="12.4609375" style="29" customWidth="1"/>
    <col min="21" max="21" width="10.23046875" style="29" customWidth="1"/>
    <col min="22" max="22" width="19.84375" style="29" customWidth="1"/>
    <col min="23" max="23" width="21.84375" style="28" customWidth="1"/>
    <col min="24" max="24" width="19.84375" style="57" customWidth="1"/>
    <col min="25" max="25" width="21.84375" style="53" customWidth="1"/>
    <col min="26" max="16384" width="8.84375" style="29"/>
  </cols>
  <sheetData>
    <row r="1" spans="1:25" s="27" customFormat="1" ht="39" customHeight="1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4"/>
      <c r="X1" s="49"/>
      <c r="Y1" s="49"/>
    </row>
    <row r="2" spans="1:25" s="27" customFormat="1" ht="31.1" customHeight="1">
      <c r="A2" s="30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2" t="s">
        <v>8</v>
      </c>
      <c r="I2" s="33" t="s">
        <v>9</v>
      </c>
      <c r="J2" s="34" t="s">
        <v>10</v>
      </c>
      <c r="K2" s="35" t="s">
        <v>11</v>
      </c>
      <c r="L2" s="35" t="s">
        <v>12</v>
      </c>
      <c r="M2" s="31" t="s">
        <v>13</v>
      </c>
      <c r="N2" s="31" t="s">
        <v>14</v>
      </c>
      <c r="O2" s="31" t="s">
        <v>15</v>
      </c>
      <c r="P2" s="31" t="s">
        <v>16</v>
      </c>
      <c r="Q2" s="75" t="s">
        <v>17</v>
      </c>
      <c r="R2" s="75"/>
      <c r="S2" s="75"/>
      <c r="T2" s="31" t="s">
        <v>18</v>
      </c>
      <c r="U2" s="36" t="s">
        <v>19</v>
      </c>
      <c r="V2" s="37" t="s">
        <v>20</v>
      </c>
      <c r="W2" s="38" t="s">
        <v>21</v>
      </c>
      <c r="X2" s="54" t="s">
        <v>20</v>
      </c>
      <c r="Y2" s="50" t="s">
        <v>21</v>
      </c>
    </row>
    <row r="3" spans="1:25" s="27" customFormat="1" ht="40.1" customHeight="1">
      <c r="A3" s="30" t="s">
        <v>22</v>
      </c>
      <c r="B3" s="31" t="s">
        <v>23</v>
      </c>
      <c r="C3" s="33" t="s">
        <v>24</v>
      </c>
      <c r="D3" s="31" t="s">
        <v>25</v>
      </c>
      <c r="E3" s="39" t="s">
        <v>84</v>
      </c>
      <c r="F3" s="39" t="s">
        <v>26</v>
      </c>
      <c r="G3" s="39" t="s">
        <v>26</v>
      </c>
      <c r="H3" s="32" t="s">
        <v>27</v>
      </c>
      <c r="I3" s="33" t="s">
        <v>28</v>
      </c>
      <c r="J3" s="34" t="s">
        <v>29</v>
      </c>
      <c r="K3" s="31" t="s">
        <v>30</v>
      </c>
      <c r="L3" s="31" t="s">
        <v>31</v>
      </c>
      <c r="M3" s="31" t="s">
        <v>32</v>
      </c>
      <c r="N3" s="31" t="s">
        <v>33</v>
      </c>
      <c r="O3" s="33" t="s">
        <v>34</v>
      </c>
      <c r="P3" s="33" t="s">
        <v>35</v>
      </c>
      <c r="Q3" s="75" t="s">
        <v>36</v>
      </c>
      <c r="R3" s="75"/>
      <c r="S3" s="75"/>
      <c r="T3" s="31" t="s">
        <v>37</v>
      </c>
      <c r="U3" s="40" t="s">
        <v>38</v>
      </c>
      <c r="V3" s="41" t="s">
        <v>39</v>
      </c>
      <c r="W3" s="30" t="s">
        <v>40</v>
      </c>
      <c r="X3" s="55" t="s">
        <v>39</v>
      </c>
      <c r="Y3" s="51" t="s">
        <v>89</v>
      </c>
    </row>
    <row r="4" spans="1:25" s="27" customFormat="1" ht="37.200000000000003" customHeight="1">
      <c r="A4" s="61"/>
      <c r="B4" s="69" t="s">
        <v>41</v>
      </c>
      <c r="C4" s="69" t="s">
        <v>42</v>
      </c>
      <c r="D4" s="68" t="s">
        <v>43</v>
      </c>
      <c r="E4" s="69" t="s">
        <v>85</v>
      </c>
      <c r="F4" s="70" t="s">
        <v>45</v>
      </c>
      <c r="G4" s="69" t="s">
        <v>44</v>
      </c>
      <c r="H4" s="30" t="s">
        <v>46</v>
      </c>
      <c r="I4" s="30">
        <v>48</v>
      </c>
      <c r="J4" s="42">
        <v>25</v>
      </c>
      <c r="K4" s="30">
        <f>I4*J4</f>
        <v>1200</v>
      </c>
      <c r="L4" s="68">
        <f>K4+K5</f>
        <v>1200</v>
      </c>
      <c r="M4" s="30">
        <v>28.9</v>
      </c>
      <c r="N4" s="30">
        <v>26.9</v>
      </c>
      <c r="O4" s="30">
        <f>M4*I4</f>
        <v>1387.1999999999998</v>
      </c>
      <c r="P4" s="30">
        <f>N4*I4</f>
        <v>1291.1999999999998</v>
      </c>
      <c r="Q4" s="30">
        <v>57</v>
      </c>
      <c r="R4" s="30">
        <v>38</v>
      </c>
      <c r="S4" s="30">
        <v>86</v>
      </c>
      <c r="T4" s="30">
        <f>Q4*R4*S4*0.000001</f>
        <v>0.186276</v>
      </c>
      <c r="U4" s="30">
        <f>I4*T4</f>
        <v>8.9412479999999999</v>
      </c>
      <c r="V4" s="65">
        <v>48</v>
      </c>
      <c r="W4" s="65">
        <f>L4*V4</f>
        <v>57600</v>
      </c>
      <c r="X4" s="58">
        <v>7.45</v>
      </c>
      <c r="Y4" s="58">
        <f>X4*L4</f>
        <v>8940</v>
      </c>
    </row>
    <row r="5" spans="1:25" s="27" customFormat="1" ht="37.200000000000003" customHeight="1">
      <c r="A5" s="62"/>
      <c r="B5" s="69"/>
      <c r="C5" s="69"/>
      <c r="D5" s="68"/>
      <c r="E5" s="69"/>
      <c r="F5" s="71"/>
      <c r="G5" s="69"/>
      <c r="H5" s="30"/>
      <c r="I5" s="30"/>
      <c r="J5" s="42"/>
      <c r="K5" s="30">
        <f t="shared" ref="K5:K6" si="0">I5*J5</f>
        <v>0</v>
      </c>
      <c r="L5" s="68"/>
      <c r="M5" s="30"/>
      <c r="N5" s="30"/>
      <c r="O5" s="30">
        <f t="shared" ref="O5:O6" si="1">M5*I5</f>
        <v>0</v>
      </c>
      <c r="P5" s="30">
        <f t="shared" ref="P5:P6" si="2">N5*I5</f>
        <v>0</v>
      </c>
      <c r="Q5" s="30"/>
      <c r="R5" s="30"/>
      <c r="S5" s="30"/>
      <c r="T5" s="30">
        <f t="shared" ref="T5:T25" si="3">Q5*R5*S5*0.000001</f>
        <v>0</v>
      </c>
      <c r="U5" s="30">
        <f t="shared" ref="U5:U9" si="4">I5*T5</f>
        <v>0</v>
      </c>
      <c r="V5" s="65"/>
      <c r="W5" s="65"/>
      <c r="X5" s="58"/>
      <c r="Y5" s="58"/>
    </row>
    <row r="6" spans="1:25" s="27" customFormat="1" ht="36" customHeight="1">
      <c r="A6" s="61"/>
      <c r="B6" s="69" t="s">
        <v>41</v>
      </c>
      <c r="C6" s="69" t="s">
        <v>42</v>
      </c>
      <c r="D6" s="66" t="s">
        <v>47</v>
      </c>
      <c r="E6" s="69" t="s">
        <v>86</v>
      </c>
      <c r="F6" s="70" t="s">
        <v>45</v>
      </c>
      <c r="G6" s="69" t="s">
        <v>44</v>
      </c>
      <c r="H6" s="30" t="s">
        <v>48</v>
      </c>
      <c r="I6" s="30">
        <v>42</v>
      </c>
      <c r="J6" s="42">
        <v>36</v>
      </c>
      <c r="K6" s="30">
        <f t="shared" si="0"/>
        <v>1512</v>
      </c>
      <c r="L6" s="68">
        <f>K6+K7</f>
        <v>1512</v>
      </c>
      <c r="M6" s="30">
        <v>36.6</v>
      </c>
      <c r="N6" s="30">
        <v>37.799999999999997</v>
      </c>
      <c r="O6" s="30">
        <f t="shared" si="1"/>
        <v>1537.2</v>
      </c>
      <c r="P6" s="30">
        <f t="shared" si="2"/>
        <v>1587.6</v>
      </c>
      <c r="Q6" s="30">
        <v>87</v>
      </c>
      <c r="R6" s="30">
        <v>43</v>
      </c>
      <c r="S6" s="30">
        <v>70</v>
      </c>
      <c r="T6" s="30">
        <f t="shared" si="3"/>
        <v>0.26186999999999999</v>
      </c>
      <c r="U6" s="30">
        <f t="shared" si="4"/>
        <v>10.99854</v>
      </c>
      <c r="V6" s="63">
        <v>38</v>
      </c>
      <c r="W6" s="65">
        <f t="shared" ref="W6" si="5">L6*V6</f>
        <v>57456</v>
      </c>
      <c r="X6" s="59">
        <v>5.9</v>
      </c>
      <c r="Y6" s="58">
        <f>X6*L6</f>
        <v>8920.8000000000011</v>
      </c>
    </row>
    <row r="7" spans="1:25" s="27" customFormat="1" ht="36" customHeight="1">
      <c r="A7" s="62"/>
      <c r="B7" s="69"/>
      <c r="C7" s="69"/>
      <c r="D7" s="67"/>
      <c r="E7" s="69"/>
      <c r="F7" s="71"/>
      <c r="G7" s="69"/>
      <c r="H7" s="30"/>
      <c r="I7" s="30"/>
      <c r="J7" s="42"/>
      <c r="K7" s="30">
        <f t="shared" ref="K7:K25" si="6">I7*J7</f>
        <v>0</v>
      </c>
      <c r="L7" s="68"/>
      <c r="M7" s="30"/>
      <c r="N7" s="30"/>
      <c r="O7" s="30">
        <f t="shared" ref="O7:O25" si="7">M7*I7</f>
        <v>0</v>
      </c>
      <c r="P7" s="30">
        <f t="shared" ref="P7:P25" si="8">N7*I7</f>
        <v>0</v>
      </c>
      <c r="Q7" s="30"/>
      <c r="R7" s="30"/>
      <c r="S7" s="30"/>
      <c r="T7" s="30">
        <f t="shared" si="3"/>
        <v>0</v>
      </c>
      <c r="U7" s="30">
        <f t="shared" si="4"/>
        <v>0</v>
      </c>
      <c r="V7" s="64"/>
      <c r="W7" s="65"/>
      <c r="X7" s="60"/>
      <c r="Y7" s="58"/>
    </row>
    <row r="8" spans="1:25" s="27" customFormat="1" ht="42" customHeight="1">
      <c r="A8" s="61"/>
      <c r="B8" s="69" t="s">
        <v>41</v>
      </c>
      <c r="C8" s="78" t="s">
        <v>49</v>
      </c>
      <c r="D8" s="66" t="s">
        <v>50</v>
      </c>
      <c r="E8" s="69" t="s">
        <v>87</v>
      </c>
      <c r="F8" s="72" t="s">
        <v>51</v>
      </c>
      <c r="G8" s="69" t="s">
        <v>44</v>
      </c>
      <c r="H8" s="43" t="s">
        <v>52</v>
      </c>
      <c r="I8" s="44">
        <v>18</v>
      </c>
      <c r="J8" s="42">
        <v>36</v>
      </c>
      <c r="K8" s="30">
        <f t="shared" si="6"/>
        <v>648</v>
      </c>
      <c r="L8" s="68">
        <f>K8+K9</f>
        <v>648</v>
      </c>
      <c r="M8" s="30">
        <v>37.1</v>
      </c>
      <c r="N8" s="30">
        <v>35.5</v>
      </c>
      <c r="O8" s="30">
        <f t="shared" si="7"/>
        <v>667.80000000000007</v>
      </c>
      <c r="P8" s="30">
        <f t="shared" si="8"/>
        <v>639</v>
      </c>
      <c r="Q8" s="30">
        <v>57</v>
      </c>
      <c r="R8" s="30">
        <v>38</v>
      </c>
      <c r="S8" s="30">
        <v>66</v>
      </c>
      <c r="T8" s="30">
        <f t="shared" si="3"/>
        <v>0.142956</v>
      </c>
      <c r="U8" s="30">
        <f t="shared" si="4"/>
        <v>2.5732080000000002</v>
      </c>
      <c r="V8" s="63">
        <v>64</v>
      </c>
      <c r="W8" s="65">
        <f>L8*V8</f>
        <v>41472</v>
      </c>
      <c r="X8" s="59">
        <v>9.94</v>
      </c>
      <c r="Y8" s="58">
        <f>X8*L8</f>
        <v>6441.12</v>
      </c>
    </row>
    <row r="9" spans="1:25" s="27" customFormat="1" ht="42" customHeight="1">
      <c r="A9" s="62"/>
      <c r="B9" s="69"/>
      <c r="C9" s="67"/>
      <c r="D9" s="67"/>
      <c r="E9" s="69"/>
      <c r="F9" s="71"/>
      <c r="G9" s="69"/>
      <c r="H9" s="30"/>
      <c r="I9" s="30"/>
      <c r="J9" s="42"/>
      <c r="K9" s="30">
        <f t="shared" si="6"/>
        <v>0</v>
      </c>
      <c r="L9" s="68"/>
      <c r="M9" s="30"/>
      <c r="N9" s="30"/>
      <c r="O9" s="30">
        <f t="shared" si="7"/>
        <v>0</v>
      </c>
      <c r="P9" s="30">
        <f t="shared" si="8"/>
        <v>0</v>
      </c>
      <c r="Q9" s="30"/>
      <c r="R9" s="30"/>
      <c r="S9" s="30"/>
      <c r="T9" s="30">
        <f t="shared" si="3"/>
        <v>0</v>
      </c>
      <c r="U9" s="30">
        <f t="shared" si="4"/>
        <v>0</v>
      </c>
      <c r="V9" s="64"/>
      <c r="W9" s="65"/>
      <c r="X9" s="60"/>
      <c r="Y9" s="58"/>
    </row>
    <row r="10" spans="1:25" s="27" customFormat="1" ht="22.95" customHeight="1">
      <c r="A10" s="61"/>
      <c r="B10" s="69" t="s">
        <v>41</v>
      </c>
      <c r="C10" s="78" t="s">
        <v>49</v>
      </c>
      <c r="D10" s="66" t="s">
        <v>53</v>
      </c>
      <c r="E10" s="69" t="s">
        <v>88</v>
      </c>
      <c r="F10" s="72" t="s">
        <v>51</v>
      </c>
      <c r="G10" s="69" t="s">
        <v>44</v>
      </c>
      <c r="H10" s="30" t="s">
        <v>54</v>
      </c>
      <c r="I10" s="30">
        <v>20</v>
      </c>
      <c r="J10" s="42">
        <v>36</v>
      </c>
      <c r="K10" s="30">
        <f t="shared" si="6"/>
        <v>720</v>
      </c>
      <c r="L10" s="68">
        <f t="shared" ref="L10" si="9">K10+K11</f>
        <v>720</v>
      </c>
      <c r="M10" s="30">
        <v>37.700000000000003</v>
      </c>
      <c r="N10" s="30">
        <v>35.1</v>
      </c>
      <c r="O10" s="30">
        <f t="shared" si="7"/>
        <v>754</v>
      </c>
      <c r="P10" s="30">
        <f t="shared" si="8"/>
        <v>702</v>
      </c>
      <c r="Q10" s="30">
        <v>57</v>
      </c>
      <c r="R10" s="30">
        <v>38</v>
      </c>
      <c r="S10" s="30">
        <v>66</v>
      </c>
      <c r="T10" s="30">
        <f t="shared" si="3"/>
        <v>0.142956</v>
      </c>
      <c r="U10" s="30">
        <f t="shared" ref="U10:U25" si="10">I10*T10</f>
        <v>2.8591199999999999</v>
      </c>
      <c r="V10" s="63">
        <v>64</v>
      </c>
      <c r="W10" s="65">
        <f t="shared" ref="W10" si="11">L10*V10</f>
        <v>46080</v>
      </c>
      <c r="X10" s="59">
        <v>9.94</v>
      </c>
      <c r="Y10" s="58">
        <f>X10*L10</f>
        <v>7156.7999999999993</v>
      </c>
    </row>
    <row r="11" spans="1:25" s="27" customFormat="1" ht="76.849999999999994" customHeight="1">
      <c r="A11" s="62"/>
      <c r="B11" s="69"/>
      <c r="C11" s="67"/>
      <c r="D11" s="67"/>
      <c r="E11" s="69"/>
      <c r="F11" s="71"/>
      <c r="G11" s="69"/>
      <c r="H11" s="30"/>
      <c r="I11" s="30"/>
      <c r="J11" s="42"/>
      <c r="K11" s="30">
        <f t="shared" si="6"/>
        <v>0</v>
      </c>
      <c r="L11" s="68"/>
      <c r="M11" s="30"/>
      <c r="N11" s="30"/>
      <c r="O11" s="30">
        <f t="shared" si="7"/>
        <v>0</v>
      </c>
      <c r="P11" s="30">
        <f t="shared" si="8"/>
        <v>0</v>
      </c>
      <c r="Q11" s="30"/>
      <c r="R11" s="30"/>
      <c r="S11" s="30"/>
      <c r="T11" s="30">
        <f t="shared" si="3"/>
        <v>0</v>
      </c>
      <c r="U11" s="30">
        <f t="shared" si="10"/>
        <v>0</v>
      </c>
      <c r="V11" s="64"/>
      <c r="W11" s="65"/>
      <c r="X11" s="60"/>
      <c r="Y11" s="58"/>
    </row>
    <row r="12" spans="1:25" s="27" customFormat="1" ht="22.95" hidden="1" customHeight="1">
      <c r="A12" s="45"/>
      <c r="B12" s="69" t="s">
        <v>41</v>
      </c>
      <c r="C12" s="66"/>
      <c r="D12" s="66"/>
      <c r="E12" s="69"/>
      <c r="F12" s="66"/>
      <c r="G12" s="66"/>
      <c r="H12" s="30"/>
      <c r="I12" s="30"/>
      <c r="J12" s="42"/>
      <c r="K12" s="30">
        <f t="shared" si="6"/>
        <v>0</v>
      </c>
      <c r="L12" s="68">
        <f t="shared" ref="L12:L16" si="12">K12+K13</f>
        <v>0</v>
      </c>
      <c r="M12" s="30"/>
      <c r="N12" s="30"/>
      <c r="O12" s="30">
        <f t="shared" si="7"/>
        <v>0</v>
      </c>
      <c r="P12" s="30">
        <f t="shared" si="8"/>
        <v>0</v>
      </c>
      <c r="Q12" s="30"/>
      <c r="R12" s="30"/>
      <c r="S12" s="30"/>
      <c r="T12" s="30">
        <f t="shared" si="3"/>
        <v>0</v>
      </c>
      <c r="U12" s="30">
        <f t="shared" si="10"/>
        <v>0</v>
      </c>
      <c r="V12" s="63"/>
      <c r="W12" s="65">
        <f t="shared" ref="W12:W16" si="13">L12*V12</f>
        <v>0</v>
      </c>
      <c r="X12" s="59"/>
      <c r="Y12" s="58">
        <f>M12*W12</f>
        <v>0</v>
      </c>
    </row>
    <row r="13" spans="1:25" s="27" customFormat="1" ht="22.95" hidden="1" customHeight="1">
      <c r="A13" s="45"/>
      <c r="B13" s="69"/>
      <c r="C13" s="67"/>
      <c r="D13" s="67"/>
      <c r="E13" s="69"/>
      <c r="F13" s="67"/>
      <c r="G13" s="67"/>
      <c r="H13" s="30"/>
      <c r="I13" s="30"/>
      <c r="J13" s="42"/>
      <c r="K13" s="30">
        <f t="shared" si="6"/>
        <v>0</v>
      </c>
      <c r="L13" s="68"/>
      <c r="M13" s="30"/>
      <c r="N13" s="30"/>
      <c r="O13" s="30">
        <f t="shared" si="7"/>
        <v>0</v>
      </c>
      <c r="P13" s="30">
        <f t="shared" si="8"/>
        <v>0</v>
      </c>
      <c r="Q13" s="30"/>
      <c r="R13" s="30"/>
      <c r="S13" s="30"/>
      <c r="T13" s="30">
        <f t="shared" si="3"/>
        <v>0</v>
      </c>
      <c r="U13" s="30">
        <f t="shared" si="10"/>
        <v>0</v>
      </c>
      <c r="V13" s="64"/>
      <c r="W13" s="65"/>
      <c r="X13" s="60"/>
      <c r="Y13" s="58"/>
    </row>
    <row r="14" spans="1:25" s="27" customFormat="1" ht="22.95" hidden="1" customHeight="1">
      <c r="A14" s="45"/>
      <c r="B14" s="69" t="s">
        <v>41</v>
      </c>
      <c r="C14" s="66"/>
      <c r="D14" s="66"/>
      <c r="E14" s="69"/>
      <c r="F14" s="66"/>
      <c r="G14" s="66"/>
      <c r="H14" s="30"/>
      <c r="I14" s="30"/>
      <c r="J14" s="42"/>
      <c r="K14" s="30">
        <f t="shared" si="6"/>
        <v>0</v>
      </c>
      <c r="L14" s="68">
        <f t="shared" si="12"/>
        <v>0</v>
      </c>
      <c r="M14" s="30"/>
      <c r="N14" s="30"/>
      <c r="O14" s="30">
        <f t="shared" si="7"/>
        <v>0</v>
      </c>
      <c r="P14" s="30">
        <f t="shared" si="8"/>
        <v>0</v>
      </c>
      <c r="Q14" s="30"/>
      <c r="R14" s="30"/>
      <c r="S14" s="30"/>
      <c r="T14" s="30">
        <f t="shared" si="3"/>
        <v>0</v>
      </c>
      <c r="U14" s="30">
        <f t="shared" si="10"/>
        <v>0</v>
      </c>
      <c r="V14" s="63"/>
      <c r="W14" s="65">
        <f t="shared" si="13"/>
        <v>0</v>
      </c>
      <c r="X14" s="59"/>
      <c r="Y14" s="58">
        <f>M14*W14</f>
        <v>0</v>
      </c>
    </row>
    <row r="15" spans="1:25" s="27" customFormat="1" ht="22.95" hidden="1" customHeight="1">
      <c r="A15" s="45"/>
      <c r="B15" s="69"/>
      <c r="C15" s="67"/>
      <c r="D15" s="67"/>
      <c r="E15" s="69"/>
      <c r="F15" s="67"/>
      <c r="G15" s="67"/>
      <c r="H15" s="30"/>
      <c r="I15" s="30"/>
      <c r="J15" s="42"/>
      <c r="K15" s="30">
        <f t="shared" si="6"/>
        <v>0</v>
      </c>
      <c r="L15" s="68"/>
      <c r="M15" s="30"/>
      <c r="N15" s="30"/>
      <c r="O15" s="30">
        <f t="shared" si="7"/>
        <v>0</v>
      </c>
      <c r="P15" s="30">
        <f t="shared" si="8"/>
        <v>0</v>
      </c>
      <c r="Q15" s="30"/>
      <c r="R15" s="30"/>
      <c r="S15" s="30"/>
      <c r="T15" s="30">
        <f t="shared" si="3"/>
        <v>0</v>
      </c>
      <c r="U15" s="30">
        <f t="shared" si="10"/>
        <v>0</v>
      </c>
      <c r="V15" s="64"/>
      <c r="W15" s="65"/>
      <c r="X15" s="60"/>
      <c r="Y15" s="58"/>
    </row>
    <row r="16" spans="1:25" s="27" customFormat="1" ht="22.95" hidden="1" customHeight="1">
      <c r="A16" s="45"/>
      <c r="B16" s="69" t="s">
        <v>41</v>
      </c>
      <c r="C16" s="66"/>
      <c r="D16" s="66"/>
      <c r="E16" s="69"/>
      <c r="F16" s="66"/>
      <c r="G16" s="66"/>
      <c r="H16" s="30"/>
      <c r="I16" s="30"/>
      <c r="J16" s="42"/>
      <c r="K16" s="30">
        <f t="shared" si="6"/>
        <v>0</v>
      </c>
      <c r="L16" s="68">
        <f t="shared" si="12"/>
        <v>0</v>
      </c>
      <c r="M16" s="30"/>
      <c r="N16" s="30"/>
      <c r="O16" s="30">
        <f t="shared" si="7"/>
        <v>0</v>
      </c>
      <c r="P16" s="30">
        <f t="shared" si="8"/>
        <v>0</v>
      </c>
      <c r="Q16" s="30"/>
      <c r="R16" s="30"/>
      <c r="S16" s="30"/>
      <c r="T16" s="30">
        <f t="shared" si="3"/>
        <v>0</v>
      </c>
      <c r="U16" s="30">
        <f t="shared" si="10"/>
        <v>0</v>
      </c>
      <c r="V16" s="63"/>
      <c r="W16" s="65">
        <f t="shared" si="13"/>
        <v>0</v>
      </c>
      <c r="X16" s="59"/>
      <c r="Y16" s="58">
        <f>M16*W16</f>
        <v>0</v>
      </c>
    </row>
    <row r="17" spans="1:25" s="27" customFormat="1" ht="22.95" hidden="1" customHeight="1">
      <c r="A17" s="45"/>
      <c r="B17" s="69"/>
      <c r="C17" s="67"/>
      <c r="D17" s="67"/>
      <c r="E17" s="69"/>
      <c r="F17" s="67"/>
      <c r="G17" s="67"/>
      <c r="H17" s="30"/>
      <c r="I17" s="30"/>
      <c r="J17" s="42"/>
      <c r="K17" s="30">
        <f t="shared" si="6"/>
        <v>0</v>
      </c>
      <c r="L17" s="68"/>
      <c r="M17" s="30"/>
      <c r="N17" s="30"/>
      <c r="O17" s="30">
        <f t="shared" si="7"/>
        <v>0</v>
      </c>
      <c r="P17" s="30">
        <f t="shared" si="8"/>
        <v>0</v>
      </c>
      <c r="Q17" s="30"/>
      <c r="R17" s="30"/>
      <c r="S17" s="30"/>
      <c r="T17" s="30">
        <f t="shared" si="3"/>
        <v>0</v>
      </c>
      <c r="U17" s="30">
        <f t="shared" si="10"/>
        <v>0</v>
      </c>
      <c r="V17" s="64"/>
      <c r="W17" s="65"/>
      <c r="X17" s="60"/>
      <c r="Y17" s="58"/>
    </row>
    <row r="18" spans="1:25" s="27" customFormat="1" ht="22.95" hidden="1" customHeight="1">
      <c r="A18" s="45"/>
      <c r="B18" s="69" t="s">
        <v>41</v>
      </c>
      <c r="C18" s="66"/>
      <c r="D18" s="66"/>
      <c r="E18" s="69"/>
      <c r="F18" s="66"/>
      <c r="G18" s="66"/>
      <c r="H18" s="30"/>
      <c r="I18" s="30"/>
      <c r="J18" s="42"/>
      <c r="K18" s="30">
        <f t="shared" si="6"/>
        <v>0</v>
      </c>
      <c r="L18" s="68">
        <f>K18+K19</f>
        <v>0</v>
      </c>
      <c r="M18" s="30"/>
      <c r="N18" s="30"/>
      <c r="O18" s="30">
        <f t="shared" si="7"/>
        <v>0</v>
      </c>
      <c r="P18" s="30">
        <f t="shared" si="8"/>
        <v>0</v>
      </c>
      <c r="Q18" s="30"/>
      <c r="R18" s="30"/>
      <c r="S18" s="30"/>
      <c r="T18" s="30">
        <f t="shared" si="3"/>
        <v>0</v>
      </c>
      <c r="U18" s="30">
        <f t="shared" si="10"/>
        <v>0</v>
      </c>
      <c r="V18" s="63"/>
      <c r="W18" s="65">
        <f>L18*V18</f>
        <v>0</v>
      </c>
      <c r="X18" s="59"/>
      <c r="Y18" s="58">
        <f>M18*W18</f>
        <v>0</v>
      </c>
    </row>
    <row r="19" spans="1:25" s="27" customFormat="1" ht="22.95" hidden="1" customHeight="1">
      <c r="A19" s="45"/>
      <c r="B19" s="69"/>
      <c r="C19" s="67"/>
      <c r="D19" s="67"/>
      <c r="E19" s="69"/>
      <c r="F19" s="67"/>
      <c r="G19" s="67"/>
      <c r="H19" s="30"/>
      <c r="I19" s="30"/>
      <c r="J19" s="42"/>
      <c r="K19" s="30">
        <f t="shared" si="6"/>
        <v>0</v>
      </c>
      <c r="L19" s="68"/>
      <c r="M19" s="30"/>
      <c r="N19" s="30"/>
      <c r="O19" s="30">
        <f t="shared" si="7"/>
        <v>0</v>
      </c>
      <c r="P19" s="30">
        <f t="shared" si="8"/>
        <v>0</v>
      </c>
      <c r="Q19" s="30"/>
      <c r="R19" s="30"/>
      <c r="S19" s="30"/>
      <c r="T19" s="30">
        <f t="shared" si="3"/>
        <v>0</v>
      </c>
      <c r="U19" s="30">
        <f t="shared" si="10"/>
        <v>0</v>
      </c>
      <c r="V19" s="64"/>
      <c r="W19" s="65"/>
      <c r="X19" s="60"/>
      <c r="Y19" s="58"/>
    </row>
    <row r="20" spans="1:25" s="27" customFormat="1" ht="22.95" hidden="1" customHeight="1">
      <c r="A20" s="45"/>
      <c r="B20" s="69" t="s">
        <v>41</v>
      </c>
      <c r="C20" s="66"/>
      <c r="D20" s="66"/>
      <c r="E20" s="69"/>
      <c r="F20" s="66"/>
      <c r="G20" s="66"/>
      <c r="H20" s="30"/>
      <c r="I20" s="30"/>
      <c r="J20" s="42"/>
      <c r="K20" s="30">
        <f t="shared" si="6"/>
        <v>0</v>
      </c>
      <c r="L20" s="68">
        <f>K20+K21</f>
        <v>0</v>
      </c>
      <c r="M20" s="30"/>
      <c r="N20" s="30"/>
      <c r="O20" s="30">
        <f t="shared" si="7"/>
        <v>0</v>
      </c>
      <c r="P20" s="30">
        <f t="shared" si="8"/>
        <v>0</v>
      </c>
      <c r="Q20" s="30"/>
      <c r="R20" s="30"/>
      <c r="S20" s="30"/>
      <c r="T20" s="30">
        <f t="shared" si="3"/>
        <v>0</v>
      </c>
      <c r="U20" s="30">
        <f t="shared" si="10"/>
        <v>0</v>
      </c>
      <c r="V20" s="63"/>
      <c r="W20" s="65">
        <f>L20*V20</f>
        <v>0</v>
      </c>
      <c r="X20" s="59"/>
      <c r="Y20" s="58">
        <f>M20*W20</f>
        <v>0</v>
      </c>
    </row>
    <row r="21" spans="1:25" s="27" customFormat="1" ht="22.95" hidden="1" customHeight="1">
      <c r="A21" s="45"/>
      <c r="B21" s="69"/>
      <c r="C21" s="67"/>
      <c r="D21" s="67"/>
      <c r="E21" s="69"/>
      <c r="F21" s="67"/>
      <c r="G21" s="67"/>
      <c r="H21" s="30"/>
      <c r="I21" s="30"/>
      <c r="J21" s="42"/>
      <c r="K21" s="30">
        <f t="shared" si="6"/>
        <v>0</v>
      </c>
      <c r="L21" s="68"/>
      <c r="M21" s="30"/>
      <c r="N21" s="30"/>
      <c r="O21" s="30">
        <f t="shared" si="7"/>
        <v>0</v>
      </c>
      <c r="P21" s="30">
        <f t="shared" si="8"/>
        <v>0</v>
      </c>
      <c r="Q21" s="30"/>
      <c r="R21" s="30"/>
      <c r="S21" s="30"/>
      <c r="T21" s="30">
        <f t="shared" si="3"/>
        <v>0</v>
      </c>
      <c r="U21" s="30">
        <f t="shared" si="10"/>
        <v>0</v>
      </c>
      <c r="V21" s="64"/>
      <c r="W21" s="65"/>
      <c r="X21" s="60"/>
      <c r="Y21" s="58"/>
    </row>
    <row r="22" spans="1:25" s="27" customFormat="1" ht="22.95" hidden="1" customHeight="1">
      <c r="A22" s="45"/>
      <c r="B22" s="69" t="s">
        <v>41</v>
      </c>
      <c r="C22" s="66"/>
      <c r="D22" s="66"/>
      <c r="E22" s="69"/>
      <c r="F22" s="66"/>
      <c r="G22" s="66"/>
      <c r="H22" s="30"/>
      <c r="I22" s="30"/>
      <c r="J22" s="42"/>
      <c r="K22" s="30">
        <f t="shared" si="6"/>
        <v>0</v>
      </c>
      <c r="L22" s="68">
        <f t="shared" ref="L22" si="14">K22+K23</f>
        <v>0</v>
      </c>
      <c r="M22" s="30"/>
      <c r="N22" s="30"/>
      <c r="O22" s="30">
        <f t="shared" si="7"/>
        <v>0</v>
      </c>
      <c r="P22" s="30">
        <f t="shared" si="8"/>
        <v>0</v>
      </c>
      <c r="Q22" s="30"/>
      <c r="R22" s="30"/>
      <c r="S22" s="30"/>
      <c r="T22" s="30">
        <f t="shared" si="3"/>
        <v>0</v>
      </c>
      <c r="U22" s="30">
        <f t="shared" si="10"/>
        <v>0</v>
      </c>
      <c r="V22" s="63"/>
      <c r="W22" s="65">
        <f t="shared" ref="W22" si="15">L22*V22</f>
        <v>0</v>
      </c>
      <c r="X22" s="59"/>
      <c r="Y22" s="58">
        <f>M22*W22</f>
        <v>0</v>
      </c>
    </row>
    <row r="23" spans="1:25" ht="22.95" hidden="1" customHeight="1">
      <c r="A23" s="45"/>
      <c r="B23" s="69"/>
      <c r="C23" s="67"/>
      <c r="D23" s="67"/>
      <c r="E23" s="69"/>
      <c r="F23" s="67"/>
      <c r="G23" s="67"/>
      <c r="H23" s="30"/>
      <c r="I23" s="30"/>
      <c r="J23" s="42"/>
      <c r="K23" s="30">
        <f t="shared" si="6"/>
        <v>0</v>
      </c>
      <c r="L23" s="68"/>
      <c r="M23" s="30"/>
      <c r="N23" s="30"/>
      <c r="O23" s="30">
        <f t="shared" si="7"/>
        <v>0</v>
      </c>
      <c r="P23" s="30">
        <f t="shared" si="8"/>
        <v>0</v>
      </c>
      <c r="Q23" s="30"/>
      <c r="R23" s="30"/>
      <c r="S23" s="30"/>
      <c r="T23" s="30">
        <f t="shared" si="3"/>
        <v>0</v>
      </c>
      <c r="U23" s="30">
        <f t="shared" si="10"/>
        <v>0</v>
      </c>
      <c r="V23" s="64"/>
      <c r="W23" s="65"/>
      <c r="X23" s="60"/>
      <c r="Y23" s="58"/>
    </row>
    <row r="24" spans="1:25" ht="22.95" hidden="1" customHeight="1">
      <c r="A24" s="45"/>
      <c r="B24" s="69" t="s">
        <v>41</v>
      </c>
      <c r="C24" s="66"/>
      <c r="D24" s="66"/>
      <c r="E24" s="69"/>
      <c r="F24" s="66"/>
      <c r="G24" s="66"/>
      <c r="H24" s="30"/>
      <c r="I24" s="30"/>
      <c r="J24" s="42"/>
      <c r="K24" s="30">
        <f t="shared" si="6"/>
        <v>0</v>
      </c>
      <c r="L24" s="68">
        <f t="shared" ref="L24" si="16">K24+K25</f>
        <v>0</v>
      </c>
      <c r="M24" s="30"/>
      <c r="N24" s="30"/>
      <c r="O24" s="30">
        <f t="shared" si="7"/>
        <v>0</v>
      </c>
      <c r="P24" s="30">
        <f t="shared" si="8"/>
        <v>0</v>
      </c>
      <c r="Q24" s="30"/>
      <c r="R24" s="30"/>
      <c r="S24" s="30"/>
      <c r="T24" s="30">
        <f t="shared" si="3"/>
        <v>0</v>
      </c>
      <c r="U24" s="30">
        <f t="shared" si="10"/>
        <v>0</v>
      </c>
      <c r="V24" s="63"/>
      <c r="W24" s="65">
        <f t="shared" ref="W24" si="17">L24*V24</f>
        <v>0</v>
      </c>
      <c r="X24" s="59"/>
      <c r="Y24" s="58">
        <f>M24*W24</f>
        <v>0</v>
      </c>
    </row>
    <row r="25" spans="1:25" ht="19.3" customHeight="1">
      <c r="A25" s="45"/>
      <c r="B25" s="69"/>
      <c r="C25" s="67"/>
      <c r="D25" s="67"/>
      <c r="E25" s="69"/>
      <c r="F25" s="67"/>
      <c r="G25" s="67"/>
      <c r="H25" s="30"/>
      <c r="I25" s="30"/>
      <c r="J25" s="42"/>
      <c r="K25" s="30">
        <f t="shared" si="6"/>
        <v>0</v>
      </c>
      <c r="L25" s="68"/>
      <c r="M25" s="30"/>
      <c r="N25" s="30"/>
      <c r="O25" s="30">
        <f t="shared" si="7"/>
        <v>0</v>
      </c>
      <c r="P25" s="30">
        <f t="shared" si="8"/>
        <v>0</v>
      </c>
      <c r="Q25" s="30"/>
      <c r="R25" s="30"/>
      <c r="S25" s="30"/>
      <c r="T25" s="30">
        <f t="shared" si="3"/>
        <v>0</v>
      </c>
      <c r="U25" s="30">
        <f t="shared" si="10"/>
        <v>0</v>
      </c>
      <c r="V25" s="64"/>
      <c r="W25" s="65"/>
      <c r="X25" s="60"/>
      <c r="Y25" s="58"/>
    </row>
    <row r="26" spans="1:25" ht="22.95" customHeight="1">
      <c r="A26" s="76" t="s">
        <v>55</v>
      </c>
      <c r="B26" s="77"/>
      <c r="C26" s="77"/>
      <c r="D26" s="77"/>
      <c r="E26" s="77"/>
      <c r="F26" s="77"/>
      <c r="G26" s="77"/>
      <c r="H26" s="45"/>
      <c r="I26" s="30">
        <f>SUM(I4:I25)</f>
        <v>128</v>
      </c>
      <c r="J26" s="42"/>
      <c r="K26" s="30">
        <f>SUM(K4:K25)</f>
        <v>4080</v>
      </c>
      <c r="L26" s="30">
        <f>SUM(L4:L25)</f>
        <v>4080</v>
      </c>
      <c r="M26" s="30"/>
      <c r="N26" s="30"/>
      <c r="O26" s="30">
        <f>SUM(O4:O25)</f>
        <v>4346.2</v>
      </c>
      <c r="P26" s="30">
        <f>SUM(P4:P25)</f>
        <v>4219.7999999999993</v>
      </c>
      <c r="Q26" s="30"/>
      <c r="R26" s="30"/>
      <c r="S26" s="30"/>
      <c r="T26" s="30"/>
      <c r="U26" s="30">
        <f>SUM(U4:U25)</f>
        <v>25.372116000000002</v>
      </c>
      <c r="V26" s="30"/>
      <c r="W26" s="46">
        <f>SUM(W4:W25)</f>
        <v>202608</v>
      </c>
      <c r="X26" s="51"/>
      <c r="Y26" s="52">
        <f>SUM(Y4:Y25)</f>
        <v>31458.720000000001</v>
      </c>
    </row>
    <row r="27" spans="1:25">
      <c r="C27" s="27"/>
      <c r="D27" s="27"/>
      <c r="E27" s="27"/>
      <c r="F27" s="27"/>
      <c r="G27" s="27"/>
      <c r="H27" s="27"/>
      <c r="I27" s="27"/>
      <c r="J27" s="4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X27" s="56"/>
    </row>
    <row r="28" spans="1:25">
      <c r="C28" s="27"/>
      <c r="D28" s="27"/>
      <c r="E28" s="27"/>
      <c r="F28" s="27"/>
      <c r="G28" s="27"/>
      <c r="H28" s="27"/>
      <c r="I28" s="27"/>
      <c r="J28" s="4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X28" s="56"/>
    </row>
    <row r="30" spans="1:25">
      <c r="E30" s="48"/>
      <c r="F30" s="48"/>
      <c r="G30" s="48"/>
    </row>
  </sheetData>
  <mergeCells count="129">
    <mergeCell ref="A1:W1"/>
    <mergeCell ref="Q2:S2"/>
    <mergeCell ref="Q3:S3"/>
    <mergeCell ref="A26:G26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E22:E23"/>
    <mergeCell ref="E24:E25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G22:G23"/>
    <mergeCell ref="G24:G25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V22:V23"/>
    <mergeCell ref="V24:V25"/>
    <mergeCell ref="W4:W5"/>
    <mergeCell ref="W6:W7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V4:V5"/>
    <mergeCell ref="V6:V7"/>
    <mergeCell ref="V8:V9"/>
    <mergeCell ref="V10:V11"/>
    <mergeCell ref="V12:V13"/>
    <mergeCell ref="V14:V15"/>
    <mergeCell ref="V16:V17"/>
    <mergeCell ref="V18:V19"/>
    <mergeCell ref="V20:V21"/>
    <mergeCell ref="A4:A5"/>
    <mergeCell ref="A6:A7"/>
    <mergeCell ref="A8:A9"/>
    <mergeCell ref="A10:A11"/>
    <mergeCell ref="Y4:Y5"/>
    <mergeCell ref="Y6:Y7"/>
    <mergeCell ref="Y8:Y9"/>
    <mergeCell ref="Y10:Y11"/>
    <mergeCell ref="Y12:Y13"/>
    <mergeCell ref="Y14:Y15"/>
    <mergeCell ref="Y16:Y17"/>
    <mergeCell ref="Y18:Y19"/>
    <mergeCell ref="Y20:Y21"/>
    <mergeCell ref="Y22:Y23"/>
    <mergeCell ref="Y24:Y25"/>
    <mergeCell ref="X4:X5"/>
    <mergeCell ref="X6:X7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</mergeCells>
  <pageMargins left="0.75" right="0.75" top="1" bottom="1" header="0.5" footer="0.5"/>
  <pageSetup paperSize="9"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"/>
  <sheetViews>
    <sheetView zoomScale="85" zoomScaleNormal="85" workbookViewId="0">
      <selection activeCell="V3" sqref="V3:V7"/>
    </sheetView>
  </sheetViews>
  <sheetFormatPr baseColWidth="10" defaultColWidth="8.69140625" defaultRowHeight="14.6"/>
  <cols>
    <col min="1" max="1" width="11.23046875" customWidth="1"/>
    <col min="15" max="15" width="7.765625" customWidth="1"/>
    <col min="16" max="17" width="10" customWidth="1"/>
    <col min="21" max="21" width="13.3046875" customWidth="1"/>
    <col min="22" max="22" width="9.53515625" customWidth="1"/>
  </cols>
  <sheetData>
    <row r="1" spans="1:22" ht="15">
      <c r="A1" s="80" t="s">
        <v>56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5">
      <c r="A2" s="1" t="s">
        <v>4</v>
      </c>
      <c r="B2" s="1" t="s">
        <v>8</v>
      </c>
      <c r="C2" s="1" t="s">
        <v>57</v>
      </c>
      <c r="D2" s="81" t="s">
        <v>58</v>
      </c>
      <c r="E2" s="82"/>
      <c r="F2" s="82"/>
      <c r="G2" s="82"/>
      <c r="H2" s="82"/>
      <c r="I2" s="83"/>
      <c r="J2" s="1" t="s">
        <v>59</v>
      </c>
      <c r="K2" s="1" t="s">
        <v>9</v>
      </c>
      <c r="L2" s="1" t="s">
        <v>10</v>
      </c>
      <c r="M2" s="1" t="s">
        <v>60</v>
      </c>
      <c r="N2" s="1" t="s">
        <v>13</v>
      </c>
      <c r="O2" s="1" t="s">
        <v>14</v>
      </c>
      <c r="P2" s="1" t="s">
        <v>15</v>
      </c>
      <c r="Q2" s="1" t="s">
        <v>16</v>
      </c>
      <c r="R2" s="81" t="s">
        <v>61</v>
      </c>
      <c r="S2" s="82"/>
      <c r="T2" s="83"/>
      <c r="U2" s="1" t="s">
        <v>18</v>
      </c>
      <c r="V2" s="1" t="s">
        <v>19</v>
      </c>
    </row>
    <row r="3" spans="1:22">
      <c r="A3" s="79" t="s">
        <v>43</v>
      </c>
      <c r="B3" s="79" t="s">
        <v>46</v>
      </c>
      <c r="C3" s="20"/>
      <c r="D3" s="21" t="s">
        <v>62</v>
      </c>
      <c r="E3" s="22">
        <v>46</v>
      </c>
      <c r="F3" s="22">
        <v>48</v>
      </c>
      <c r="G3" s="22">
        <v>50</v>
      </c>
      <c r="H3" s="22">
        <v>52</v>
      </c>
      <c r="I3" s="22">
        <v>54</v>
      </c>
      <c r="J3" s="6"/>
      <c r="K3" s="79">
        <v>48</v>
      </c>
      <c r="L3" s="79">
        <v>25</v>
      </c>
      <c r="M3" s="79">
        <f>SUM(K3*L3)</f>
        <v>1200</v>
      </c>
      <c r="N3" s="79">
        <v>28.9</v>
      </c>
      <c r="O3" s="79">
        <v>26.9</v>
      </c>
      <c r="P3" s="79">
        <f>SUM(N3*K3)</f>
        <v>1387.2</v>
      </c>
      <c r="Q3" s="79">
        <f>SUM(O3*K3)</f>
        <v>1291.2</v>
      </c>
      <c r="R3" s="79">
        <v>57</v>
      </c>
      <c r="S3" s="79">
        <v>38</v>
      </c>
      <c r="T3" s="79">
        <v>76</v>
      </c>
      <c r="U3" s="79">
        <v>0.186276</v>
      </c>
      <c r="V3" s="79">
        <v>8.9412479999999999</v>
      </c>
    </row>
    <row r="4" spans="1:22">
      <c r="A4" s="79"/>
      <c r="B4" s="79"/>
      <c r="C4" s="20"/>
      <c r="D4" s="23" t="s">
        <v>63</v>
      </c>
      <c r="E4" s="22" t="s">
        <v>64</v>
      </c>
      <c r="F4" s="22" t="s">
        <v>65</v>
      </c>
      <c r="G4" s="22" t="s">
        <v>66</v>
      </c>
      <c r="H4" s="22" t="s">
        <v>67</v>
      </c>
      <c r="I4" s="22" t="s">
        <v>68</v>
      </c>
      <c r="J4" s="6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spans="1:22">
      <c r="A5" s="79"/>
      <c r="B5" s="79"/>
      <c r="C5" s="20" t="s">
        <v>69</v>
      </c>
      <c r="D5" s="24"/>
      <c r="E5" s="13">
        <v>3</v>
      </c>
      <c r="F5" s="13">
        <v>3</v>
      </c>
      <c r="G5" s="13">
        <v>3</v>
      </c>
      <c r="H5" s="13">
        <v>3</v>
      </c>
      <c r="I5" s="13">
        <v>3</v>
      </c>
      <c r="J5" s="9">
        <f>SUM(E5:I5)</f>
        <v>15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2">
      <c r="A6" s="79"/>
      <c r="B6" s="79"/>
      <c r="C6" s="20" t="s">
        <v>70</v>
      </c>
      <c r="D6" s="24"/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9">
        <f>SUM(E6:I6)</f>
        <v>5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spans="1:22">
      <c r="A7" s="79"/>
      <c r="B7" s="79"/>
      <c r="C7" s="25" t="s">
        <v>71</v>
      </c>
      <c r="D7" s="11"/>
      <c r="E7" s="13">
        <v>1</v>
      </c>
      <c r="F7" s="13">
        <v>1</v>
      </c>
      <c r="G7" s="26">
        <v>1</v>
      </c>
      <c r="H7" s="13">
        <v>1</v>
      </c>
      <c r="I7" s="13">
        <v>1</v>
      </c>
      <c r="J7" s="9">
        <f>SUM(E7:I7)</f>
        <v>5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11" spans="1:22" ht="15.45">
      <c r="A11" s="14" t="s">
        <v>72</v>
      </c>
      <c r="B11" s="15"/>
      <c r="E11" s="14" t="s">
        <v>73</v>
      </c>
      <c r="F11" s="16"/>
      <c r="G11" s="17"/>
      <c r="H11" s="84" t="s">
        <v>74</v>
      </c>
      <c r="I11" s="85"/>
      <c r="J11" s="85"/>
      <c r="K11" s="85"/>
      <c r="L11" s="17"/>
      <c r="M11" s="17"/>
      <c r="N11" s="84" t="s">
        <v>75</v>
      </c>
      <c r="O11" s="84"/>
      <c r="P11" s="84"/>
    </row>
  </sheetData>
  <mergeCells count="19">
    <mergeCell ref="H11:K11"/>
    <mergeCell ref="N11:P11"/>
    <mergeCell ref="A3:A7"/>
    <mergeCell ref="B3:B7"/>
    <mergeCell ref="K3:K7"/>
    <mergeCell ref="L3:L7"/>
    <mergeCell ref="M3:M7"/>
    <mergeCell ref="N3:N7"/>
    <mergeCell ref="O3:O7"/>
    <mergeCell ref="P3:P7"/>
    <mergeCell ref="T3:T7"/>
    <mergeCell ref="U3:U7"/>
    <mergeCell ref="V3:V7"/>
    <mergeCell ref="A1:V1"/>
    <mergeCell ref="D2:I2"/>
    <mergeCell ref="R2:T2"/>
    <mergeCell ref="Q3:Q7"/>
    <mergeCell ref="R3:R7"/>
    <mergeCell ref="S3:S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"/>
  <sheetViews>
    <sheetView zoomScale="85" zoomScaleNormal="85" workbookViewId="0">
      <selection activeCell="G33" sqref="G33"/>
    </sheetView>
  </sheetViews>
  <sheetFormatPr baseColWidth="10" defaultColWidth="8.69140625" defaultRowHeight="14.6"/>
  <cols>
    <col min="1" max="1" width="11.23046875" customWidth="1"/>
    <col min="15" max="15" width="7.765625" customWidth="1"/>
    <col min="16" max="17" width="10" customWidth="1"/>
    <col min="21" max="21" width="13.3046875" customWidth="1"/>
    <col min="22" max="22" width="9.53515625" customWidth="1"/>
  </cols>
  <sheetData>
    <row r="1" spans="1:22" ht="15">
      <c r="A1" s="80" t="s">
        <v>56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5">
      <c r="A2" s="1" t="s">
        <v>4</v>
      </c>
      <c r="B2" s="1" t="s">
        <v>8</v>
      </c>
      <c r="C2" s="1" t="s">
        <v>57</v>
      </c>
      <c r="D2" s="81" t="s">
        <v>58</v>
      </c>
      <c r="E2" s="82"/>
      <c r="F2" s="82"/>
      <c r="G2" s="82"/>
      <c r="H2" s="82"/>
      <c r="I2" s="83"/>
      <c r="J2" s="1" t="s">
        <v>59</v>
      </c>
      <c r="K2" s="1" t="s">
        <v>9</v>
      </c>
      <c r="L2" s="1" t="s">
        <v>10</v>
      </c>
      <c r="M2" s="1" t="s">
        <v>60</v>
      </c>
      <c r="N2" s="1" t="s">
        <v>13</v>
      </c>
      <c r="O2" s="1" t="s">
        <v>14</v>
      </c>
      <c r="P2" s="1" t="s">
        <v>15</v>
      </c>
      <c r="Q2" s="1" t="s">
        <v>16</v>
      </c>
      <c r="R2" s="81" t="s">
        <v>61</v>
      </c>
      <c r="S2" s="82"/>
      <c r="T2" s="83"/>
      <c r="U2" s="1" t="s">
        <v>18</v>
      </c>
      <c r="V2" s="1" t="s">
        <v>19</v>
      </c>
    </row>
    <row r="3" spans="1:22">
      <c r="A3" s="79" t="s">
        <v>47</v>
      </c>
      <c r="B3" s="79" t="s">
        <v>48</v>
      </c>
      <c r="C3" s="2"/>
      <c r="D3" s="3" t="s">
        <v>62</v>
      </c>
      <c r="E3" s="5">
        <v>190</v>
      </c>
      <c r="F3" s="5">
        <v>195</v>
      </c>
      <c r="G3" s="5">
        <v>200</v>
      </c>
      <c r="H3" s="5"/>
      <c r="I3" s="5"/>
      <c r="J3" s="6"/>
      <c r="K3" s="79">
        <v>42</v>
      </c>
      <c r="L3" s="79">
        <v>36</v>
      </c>
      <c r="M3" s="79">
        <f>SUM(K3*L3)</f>
        <v>1512</v>
      </c>
      <c r="N3" s="79">
        <v>37.799999999999997</v>
      </c>
      <c r="O3" s="79">
        <v>36.6</v>
      </c>
      <c r="P3" s="79">
        <f>SUM(N3*K3)</f>
        <v>1587.6</v>
      </c>
      <c r="Q3" s="79">
        <f>SUM(O3*K3)</f>
        <v>1537.2</v>
      </c>
      <c r="R3" s="79">
        <v>0.87</v>
      </c>
      <c r="S3" s="79">
        <v>0.43</v>
      </c>
      <c r="T3" s="79">
        <v>0.7</v>
      </c>
      <c r="U3" s="79">
        <f>SUM(R3*S3*T3)</f>
        <v>0.26186999999999999</v>
      </c>
      <c r="V3" s="79">
        <f>SUM(K3*U3)</f>
        <v>10.99854</v>
      </c>
    </row>
    <row r="4" spans="1:22">
      <c r="A4" s="79"/>
      <c r="B4" s="79"/>
      <c r="C4" s="10"/>
      <c r="D4" s="7" t="s">
        <v>63</v>
      </c>
      <c r="E4" s="5" t="s">
        <v>65</v>
      </c>
      <c r="F4" s="5" t="s">
        <v>66</v>
      </c>
      <c r="G4" s="5" t="s">
        <v>67</v>
      </c>
      <c r="H4" s="5"/>
      <c r="I4" s="5"/>
      <c r="J4" s="6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spans="1:22">
      <c r="A5" s="79"/>
      <c r="B5" s="79"/>
      <c r="C5" s="10" t="s">
        <v>76</v>
      </c>
      <c r="D5" s="11"/>
      <c r="E5" s="5">
        <v>6</v>
      </c>
      <c r="F5" s="5">
        <v>6</v>
      </c>
      <c r="G5" s="5">
        <v>6</v>
      </c>
      <c r="H5" s="5"/>
      <c r="I5" s="5"/>
      <c r="J5" s="9">
        <f>SUM(E5:I5)</f>
        <v>18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2">
      <c r="A6" s="79"/>
      <c r="B6" s="79"/>
      <c r="C6" s="10" t="s">
        <v>77</v>
      </c>
      <c r="D6" s="11"/>
      <c r="E6" s="5">
        <v>2</v>
      </c>
      <c r="F6" s="5">
        <v>2</v>
      </c>
      <c r="G6" s="5">
        <v>2</v>
      </c>
      <c r="H6" s="5"/>
      <c r="I6" s="5"/>
      <c r="J6" s="9">
        <f>SUM(E6:I6)</f>
        <v>6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spans="1:22">
      <c r="A7" s="79"/>
      <c r="B7" s="79"/>
      <c r="C7" s="2" t="s">
        <v>78</v>
      </c>
      <c r="D7" s="12"/>
      <c r="E7" s="5">
        <v>2</v>
      </c>
      <c r="F7" s="5">
        <v>2</v>
      </c>
      <c r="G7" s="5">
        <v>2</v>
      </c>
      <c r="H7" s="5"/>
      <c r="I7" s="5"/>
      <c r="J7" s="9">
        <f>SUM(E7:I7)</f>
        <v>6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 spans="1:22">
      <c r="A8" s="79"/>
      <c r="B8" s="79"/>
      <c r="C8" s="4" t="s">
        <v>79</v>
      </c>
      <c r="D8" s="11"/>
      <c r="E8" s="5">
        <v>2</v>
      </c>
      <c r="F8" s="5">
        <v>2</v>
      </c>
      <c r="G8" s="5">
        <v>2</v>
      </c>
      <c r="H8" s="5"/>
      <c r="I8" s="5"/>
      <c r="J8" s="9">
        <f>SUM(E8:I8)</f>
        <v>6</v>
      </c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</row>
    <row r="12" spans="1:22" ht="15.45">
      <c r="A12" s="14" t="s">
        <v>72</v>
      </c>
      <c r="B12" s="15"/>
      <c r="E12" s="14" t="s">
        <v>73</v>
      </c>
      <c r="F12" s="16"/>
      <c r="G12" s="17"/>
      <c r="H12" s="84" t="s">
        <v>74</v>
      </c>
      <c r="I12" s="85"/>
      <c r="J12" s="85"/>
      <c r="K12" s="85"/>
      <c r="L12" s="17"/>
      <c r="M12" s="17"/>
      <c r="N12" s="84" t="s">
        <v>75</v>
      </c>
      <c r="O12" s="84"/>
      <c r="P12" s="84"/>
    </row>
  </sheetData>
  <mergeCells count="19">
    <mergeCell ref="H12:K12"/>
    <mergeCell ref="N12:P12"/>
    <mergeCell ref="A3:A8"/>
    <mergeCell ref="B3:B8"/>
    <mergeCell ref="K3:K8"/>
    <mergeCell ref="L3:L8"/>
    <mergeCell ref="M3:M8"/>
    <mergeCell ref="N3:N8"/>
    <mergeCell ref="O3:O8"/>
    <mergeCell ref="P3:P8"/>
    <mergeCell ref="T3:T8"/>
    <mergeCell ref="U3:U8"/>
    <mergeCell ref="V3:V8"/>
    <mergeCell ref="A1:V1"/>
    <mergeCell ref="D2:I2"/>
    <mergeCell ref="R2:T2"/>
    <mergeCell ref="Q3:Q8"/>
    <mergeCell ref="R3:R8"/>
    <mergeCell ref="S3:S8"/>
  </mergeCells>
  <pageMargins left="0.75" right="0.75" top="1" bottom="1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"/>
  <sheetViews>
    <sheetView workbookViewId="0">
      <selection activeCell="F6" sqref="F6"/>
    </sheetView>
  </sheetViews>
  <sheetFormatPr baseColWidth="10" defaultColWidth="8.69140625" defaultRowHeight="14.6"/>
  <cols>
    <col min="1" max="1" width="11.23046875" customWidth="1"/>
    <col min="15" max="15" width="7.765625" customWidth="1"/>
    <col min="16" max="17" width="10" customWidth="1"/>
    <col min="21" max="21" width="13.3046875" customWidth="1"/>
    <col min="22" max="22" width="9.53515625" customWidth="1"/>
  </cols>
  <sheetData>
    <row r="1" spans="1:22" ht="15">
      <c r="A1" s="80" t="s">
        <v>56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5">
      <c r="A2" s="1" t="s">
        <v>4</v>
      </c>
      <c r="B2" s="1" t="s">
        <v>8</v>
      </c>
      <c r="C2" s="1" t="s">
        <v>57</v>
      </c>
      <c r="D2" s="81" t="s">
        <v>58</v>
      </c>
      <c r="E2" s="82"/>
      <c r="F2" s="82"/>
      <c r="G2" s="82"/>
      <c r="H2" s="82"/>
      <c r="I2" s="83"/>
      <c r="J2" s="1" t="s">
        <v>59</v>
      </c>
      <c r="K2" s="1" t="s">
        <v>9</v>
      </c>
      <c r="L2" s="1" t="s">
        <v>10</v>
      </c>
      <c r="M2" s="1" t="s">
        <v>60</v>
      </c>
      <c r="N2" s="1" t="s">
        <v>13</v>
      </c>
      <c r="O2" s="1" t="s">
        <v>14</v>
      </c>
      <c r="P2" s="1" t="s">
        <v>15</v>
      </c>
      <c r="Q2" s="1" t="s">
        <v>16</v>
      </c>
      <c r="R2" s="81" t="s">
        <v>61</v>
      </c>
      <c r="S2" s="82"/>
      <c r="T2" s="83"/>
      <c r="U2" s="1" t="s">
        <v>18</v>
      </c>
      <c r="V2" s="1" t="s">
        <v>19</v>
      </c>
    </row>
    <row r="3" spans="1:22">
      <c r="A3" s="79" t="s">
        <v>50</v>
      </c>
      <c r="B3" s="79" t="s">
        <v>52</v>
      </c>
      <c r="C3" s="2"/>
      <c r="D3" s="3" t="s">
        <v>62</v>
      </c>
      <c r="E3" s="4" t="s">
        <v>80</v>
      </c>
      <c r="F3" s="4" t="s">
        <v>81</v>
      </c>
      <c r="G3" s="4" t="s">
        <v>82</v>
      </c>
      <c r="H3" s="5"/>
      <c r="I3" s="5"/>
      <c r="J3" s="6"/>
      <c r="K3" s="79">
        <v>18</v>
      </c>
      <c r="L3" s="79">
        <v>36</v>
      </c>
      <c r="M3" s="79">
        <f>SUM(K3*L3)</f>
        <v>648</v>
      </c>
      <c r="N3" s="79">
        <v>37.1</v>
      </c>
      <c r="O3" s="79">
        <v>35.5</v>
      </c>
      <c r="P3" s="79">
        <f>SUM(N3*K3)</f>
        <v>667.8</v>
      </c>
      <c r="Q3" s="79">
        <f>SUM(O3*K3)</f>
        <v>639</v>
      </c>
      <c r="R3" s="79">
        <v>0.56999999999999995</v>
      </c>
      <c r="S3" s="79">
        <v>0.38</v>
      </c>
      <c r="T3" s="79">
        <v>0.66</v>
      </c>
      <c r="U3" s="79">
        <f>SUM(R3*S3*T3)</f>
        <v>0.142956</v>
      </c>
      <c r="V3" s="79">
        <f>SUM(K3*U3)</f>
        <v>2.5732080000000002</v>
      </c>
    </row>
    <row r="4" spans="1:22">
      <c r="A4" s="79"/>
      <c r="B4" s="79"/>
      <c r="C4" s="2"/>
      <c r="D4" s="7" t="s">
        <v>63</v>
      </c>
      <c r="E4" s="4" t="s">
        <v>64</v>
      </c>
      <c r="F4" s="4" t="s">
        <v>65</v>
      </c>
      <c r="G4" s="4" t="s">
        <v>66</v>
      </c>
      <c r="H4" s="5"/>
      <c r="I4" s="5"/>
      <c r="J4" s="6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spans="1:22">
      <c r="A5" s="79"/>
      <c r="B5" s="79"/>
      <c r="C5" s="2" t="s">
        <v>76</v>
      </c>
      <c r="D5" s="8"/>
      <c r="E5" s="5">
        <v>8</v>
      </c>
      <c r="F5" s="5">
        <v>8</v>
      </c>
      <c r="G5" s="5">
        <v>8</v>
      </c>
      <c r="H5" s="5"/>
      <c r="I5" s="5"/>
      <c r="J5" s="9">
        <f t="shared" ref="J5:J8" si="0">SUM(E5:I5)</f>
        <v>24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2">
      <c r="A6" s="79"/>
      <c r="B6" s="79"/>
      <c r="C6" s="10" t="s">
        <v>83</v>
      </c>
      <c r="D6" s="11"/>
      <c r="E6" s="5">
        <v>4</v>
      </c>
      <c r="F6" s="5">
        <v>4</v>
      </c>
      <c r="G6" s="5">
        <v>4</v>
      </c>
      <c r="H6" s="5"/>
      <c r="I6" s="5"/>
      <c r="J6" s="9">
        <f t="shared" si="0"/>
        <v>12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spans="1:22">
      <c r="A7" s="79"/>
      <c r="B7" s="79"/>
      <c r="C7" s="4"/>
      <c r="D7" s="12"/>
      <c r="E7" s="13"/>
      <c r="F7" s="13"/>
      <c r="G7" s="13"/>
      <c r="H7" s="5"/>
      <c r="I7" s="5"/>
      <c r="J7" s="9">
        <f t="shared" si="0"/>
        <v>0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 spans="1:22">
      <c r="A8" s="79"/>
      <c r="B8" s="79"/>
      <c r="C8" s="4"/>
      <c r="D8" s="11"/>
      <c r="E8" s="5"/>
      <c r="F8" s="5"/>
      <c r="G8" s="5"/>
      <c r="H8" s="5"/>
      <c r="I8" s="5"/>
      <c r="J8" s="9">
        <f t="shared" si="0"/>
        <v>0</v>
      </c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</row>
    <row r="9" spans="1:22">
      <c r="B9" s="18"/>
      <c r="C9" s="18"/>
    </row>
    <row r="10" spans="1:22">
      <c r="B10" s="18"/>
      <c r="C10" s="19"/>
    </row>
    <row r="12" spans="1:22" ht="15.45">
      <c r="A12" s="14" t="s">
        <v>72</v>
      </c>
      <c r="B12" s="15"/>
      <c r="E12" s="14" t="s">
        <v>73</v>
      </c>
      <c r="F12" s="16"/>
      <c r="G12" s="17"/>
      <c r="H12" s="84" t="s">
        <v>74</v>
      </c>
      <c r="I12" s="85"/>
      <c r="J12" s="85"/>
      <c r="K12" s="85"/>
      <c r="L12" s="17"/>
      <c r="M12" s="17"/>
      <c r="N12" s="84" t="s">
        <v>75</v>
      </c>
      <c r="O12" s="84"/>
      <c r="P12" s="84"/>
    </row>
  </sheetData>
  <mergeCells count="19">
    <mergeCell ref="H12:K12"/>
    <mergeCell ref="N12:P12"/>
    <mergeCell ref="A3:A8"/>
    <mergeCell ref="B3:B8"/>
    <mergeCell ref="K3:K8"/>
    <mergeCell ref="L3:L8"/>
    <mergeCell ref="M3:M8"/>
    <mergeCell ref="N3:N8"/>
    <mergeCell ref="O3:O8"/>
    <mergeCell ref="P3:P8"/>
    <mergeCell ref="T3:T8"/>
    <mergeCell ref="U3:U8"/>
    <mergeCell ref="V3:V8"/>
    <mergeCell ref="A1:V1"/>
    <mergeCell ref="D2:I2"/>
    <mergeCell ref="R2:T2"/>
    <mergeCell ref="Q3:Q8"/>
    <mergeCell ref="R3:R8"/>
    <mergeCell ref="S3:S8"/>
  </mergeCells>
  <pageMargins left="0.75" right="0.75" top="1" bottom="1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"/>
  <sheetViews>
    <sheetView workbookViewId="0">
      <selection activeCell="H26" sqref="H26"/>
    </sheetView>
  </sheetViews>
  <sheetFormatPr baseColWidth="10" defaultColWidth="8.69140625" defaultRowHeight="14.6"/>
  <cols>
    <col min="1" max="1" width="11.23046875" customWidth="1"/>
    <col min="15" max="15" width="7.765625" customWidth="1"/>
    <col min="16" max="17" width="10" customWidth="1"/>
    <col min="21" max="21" width="13.3046875" customWidth="1"/>
    <col min="22" max="22" width="9.53515625" customWidth="1"/>
  </cols>
  <sheetData>
    <row r="1" spans="1:22" ht="15">
      <c r="A1" s="80" t="s">
        <v>56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5">
      <c r="A2" s="1" t="s">
        <v>4</v>
      </c>
      <c r="B2" s="1" t="s">
        <v>8</v>
      </c>
      <c r="C2" s="1" t="s">
        <v>57</v>
      </c>
      <c r="D2" s="81" t="s">
        <v>58</v>
      </c>
      <c r="E2" s="82"/>
      <c r="F2" s="82"/>
      <c r="G2" s="82"/>
      <c r="H2" s="82"/>
      <c r="I2" s="83"/>
      <c r="J2" s="1" t="s">
        <v>59</v>
      </c>
      <c r="K2" s="1" t="s">
        <v>9</v>
      </c>
      <c r="L2" s="1" t="s">
        <v>10</v>
      </c>
      <c r="M2" s="1" t="s">
        <v>60</v>
      </c>
      <c r="N2" s="1" t="s">
        <v>13</v>
      </c>
      <c r="O2" s="1" t="s">
        <v>14</v>
      </c>
      <c r="P2" s="1" t="s">
        <v>15</v>
      </c>
      <c r="Q2" s="1" t="s">
        <v>16</v>
      </c>
      <c r="R2" s="81" t="s">
        <v>61</v>
      </c>
      <c r="S2" s="82"/>
      <c r="T2" s="83"/>
      <c r="U2" s="1" t="s">
        <v>18</v>
      </c>
      <c r="V2" s="1" t="s">
        <v>19</v>
      </c>
    </row>
    <row r="3" spans="1:22">
      <c r="A3" s="79" t="s">
        <v>53</v>
      </c>
      <c r="B3" s="79" t="s">
        <v>54</v>
      </c>
      <c r="C3" s="2"/>
      <c r="D3" s="3" t="s">
        <v>62</v>
      </c>
      <c r="E3" s="4" t="s">
        <v>80</v>
      </c>
      <c r="F3" s="4" t="s">
        <v>81</v>
      </c>
      <c r="G3" s="4" t="s">
        <v>82</v>
      </c>
      <c r="H3" s="5"/>
      <c r="I3" s="5"/>
      <c r="J3" s="6"/>
      <c r="K3" s="79">
        <v>20</v>
      </c>
      <c r="L3" s="79">
        <v>36</v>
      </c>
      <c r="M3" s="79">
        <v>720</v>
      </c>
      <c r="N3" s="79">
        <v>37.700000000000003</v>
      </c>
      <c r="O3" s="79">
        <v>35.1</v>
      </c>
      <c r="P3" s="79">
        <f>SUM(N3*K3)</f>
        <v>754</v>
      </c>
      <c r="Q3" s="79">
        <f>SUM(O3*K3)</f>
        <v>702</v>
      </c>
      <c r="R3" s="79">
        <v>0.56999999999999995</v>
      </c>
      <c r="S3" s="79">
        <v>0.38</v>
      </c>
      <c r="T3" s="79">
        <v>0.66</v>
      </c>
      <c r="U3" s="79">
        <f>SUM(R3*S3*T3)</f>
        <v>0.142956</v>
      </c>
      <c r="V3" s="79">
        <f>SUM(K3*U3)</f>
        <v>2.8591199999999999</v>
      </c>
    </row>
    <row r="4" spans="1:22">
      <c r="A4" s="79"/>
      <c r="B4" s="79"/>
      <c r="C4" s="2"/>
      <c r="D4" s="7" t="s">
        <v>63</v>
      </c>
      <c r="E4" s="4" t="s">
        <v>64</v>
      </c>
      <c r="F4" s="4" t="s">
        <v>65</v>
      </c>
      <c r="G4" s="4" t="s">
        <v>66</v>
      </c>
      <c r="H4" s="5"/>
      <c r="I4" s="5"/>
      <c r="J4" s="6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spans="1:22">
      <c r="A5" s="79"/>
      <c r="B5" s="79"/>
      <c r="C5" s="2" t="s">
        <v>76</v>
      </c>
      <c r="D5" s="8"/>
      <c r="E5" s="5">
        <v>8</v>
      </c>
      <c r="F5" s="5">
        <v>8</v>
      </c>
      <c r="G5" s="5">
        <v>8</v>
      </c>
      <c r="H5" s="5"/>
      <c r="I5" s="5"/>
      <c r="J5" s="9">
        <f t="shared" ref="J5:J8" si="0">SUM(E5:I5)</f>
        <v>24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2">
      <c r="A6" s="79"/>
      <c r="B6" s="79"/>
      <c r="C6" s="10" t="s">
        <v>83</v>
      </c>
      <c r="D6" s="11"/>
      <c r="E6" s="5">
        <v>4</v>
      </c>
      <c r="F6" s="5">
        <v>4</v>
      </c>
      <c r="G6" s="5">
        <v>4</v>
      </c>
      <c r="H6" s="5"/>
      <c r="I6" s="5"/>
      <c r="J6" s="9">
        <f t="shared" si="0"/>
        <v>12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spans="1:22">
      <c r="A7" s="79"/>
      <c r="B7" s="79"/>
      <c r="C7" s="4"/>
      <c r="D7" s="12"/>
      <c r="E7" s="13"/>
      <c r="F7" s="13"/>
      <c r="G7" s="13"/>
      <c r="H7" s="5"/>
      <c r="I7" s="5"/>
      <c r="J7" s="9">
        <f t="shared" si="0"/>
        <v>0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 spans="1:22">
      <c r="A8" s="79"/>
      <c r="B8" s="79"/>
      <c r="C8" s="4"/>
      <c r="D8" s="11"/>
      <c r="E8" s="5"/>
      <c r="F8" s="5"/>
      <c r="G8" s="5"/>
      <c r="H8" s="5"/>
      <c r="I8" s="5"/>
      <c r="J8" s="9">
        <f t="shared" si="0"/>
        <v>0</v>
      </c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</row>
    <row r="12" spans="1:22" ht="15.45">
      <c r="A12" s="14" t="s">
        <v>72</v>
      </c>
      <c r="B12" s="15"/>
      <c r="E12" s="14" t="s">
        <v>73</v>
      </c>
      <c r="F12" s="16"/>
      <c r="G12" s="17"/>
      <c r="H12" s="84" t="s">
        <v>74</v>
      </c>
      <c r="I12" s="85"/>
      <c r="J12" s="85"/>
      <c r="K12" s="85"/>
      <c r="L12" s="17"/>
      <c r="M12" s="17"/>
      <c r="N12" s="84" t="s">
        <v>75</v>
      </c>
      <c r="O12" s="84"/>
      <c r="P12" s="84"/>
    </row>
  </sheetData>
  <mergeCells count="19">
    <mergeCell ref="H12:K12"/>
    <mergeCell ref="N12:P12"/>
    <mergeCell ref="A3:A8"/>
    <mergeCell ref="B3:B8"/>
    <mergeCell ref="K3:K8"/>
    <mergeCell ref="L3:L8"/>
    <mergeCell ref="M3:M8"/>
    <mergeCell ref="N3:N8"/>
    <mergeCell ref="O3:O8"/>
    <mergeCell ref="P3:P8"/>
    <mergeCell ref="T3:T8"/>
    <mergeCell ref="U3:U8"/>
    <mergeCell ref="V3:V8"/>
    <mergeCell ref="A1:V1"/>
    <mergeCell ref="D2:I2"/>
    <mergeCell ref="R2:T2"/>
    <mergeCell ref="Q3:Q8"/>
    <mergeCell ref="R3:R8"/>
    <mergeCell ref="S3:S8"/>
  </mergeCells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装箱单</vt:lpstr>
      <vt:lpstr>HO2609HC</vt:lpstr>
      <vt:lpstr>HO2601HC</vt:lpstr>
      <vt:lpstr>HO2603HC</vt:lpstr>
      <vt:lpstr>H02602HC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Uriel Lope Saavedra</cp:lastModifiedBy>
  <cp:lastPrinted>2024-06-05T01:44:00Z</cp:lastPrinted>
  <dcterms:created xsi:type="dcterms:W3CDTF">2024-06-04T07:08:00Z</dcterms:created>
  <dcterms:modified xsi:type="dcterms:W3CDTF">2026-09-04T17:04:45Z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D58CB92D0860430C9988B8824E86B20C_13</vt:lpwstr>
  </property>
  <property fmtid="{D5CDD505-2E9C-101B-9397-08002B2CF9AE}" pid="3" name="KSOProductBuildVer">
    <vt:lpwstr>2052-12.1.3.27451</vt:lpwstr>
  </property>
  <property fmtid="{D5CDD505-2E9C-101B-9397-08002B2CF9AE}" pid="4" name="CalculationRule">
    <vt:i4>0</vt:i4>
  </property>
</Properties>
</file>