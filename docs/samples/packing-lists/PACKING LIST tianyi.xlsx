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riel\Downloads\providers\"/>
    </mc:Choice>
  </mc:AlternateContent>
  <xr:revisionPtr revIDLastSave="0" documentId="13_ncr:1_{D7501DFE-7C20-407E-991F-4A09ED41C134}" xr6:coauthVersionLast="47" xr6:coauthVersionMax="47" xr10:uidLastSave="{00000000-0000-0000-0000-000000000000}"/>
  <bookViews>
    <workbookView xWindow="-110" yWindow="-110" windowWidth="29020" windowHeight="18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U12" i="1"/>
  <c r="Q12" i="1"/>
  <c r="P12" i="1"/>
  <c r="M12" i="1"/>
  <c r="E12" i="1"/>
  <c r="U11" i="1"/>
  <c r="Q11" i="1"/>
  <c r="P11" i="1"/>
  <c r="M11" i="1"/>
  <c r="E11" i="1"/>
  <c r="U10" i="1"/>
  <c r="Q10" i="1"/>
  <c r="P10" i="1"/>
  <c r="M10" i="1"/>
  <c r="E10" i="1"/>
  <c r="U9" i="1"/>
  <c r="Q9" i="1"/>
  <c r="P9" i="1"/>
  <c r="M9" i="1"/>
  <c r="E9" i="1"/>
  <c r="U8" i="1"/>
  <c r="Q8" i="1"/>
  <c r="P8" i="1"/>
  <c r="M8" i="1"/>
  <c r="E8" i="1"/>
  <c r="U7" i="1"/>
  <c r="Q7" i="1"/>
  <c r="P7" i="1"/>
  <c r="M7" i="1"/>
  <c r="E7" i="1"/>
  <c r="U6" i="1"/>
  <c r="Q6" i="1"/>
  <c r="P6" i="1"/>
  <c r="M6" i="1"/>
  <c r="E6" i="1"/>
  <c r="U5" i="1"/>
  <c r="Q5" i="1"/>
  <c r="P5" i="1"/>
  <c r="M5" i="1"/>
  <c r="E5" i="1"/>
  <c r="U13" i="1"/>
  <c r="M13" i="1"/>
  <c r="P13" i="1"/>
  <c r="Q13" i="1"/>
</calcChain>
</file>

<file path=xl/sharedStrings.xml><?xml version="1.0" encoding="utf-8"?>
<sst xmlns="http://schemas.openxmlformats.org/spreadsheetml/2006/main" count="88" uniqueCount="55">
  <si>
    <t xml:space="preserve">PACKING LIST </t>
  </si>
  <si>
    <t>PI NO.</t>
  </si>
  <si>
    <t>STYLE NO.</t>
  </si>
  <si>
    <t>CARTON NO.</t>
  </si>
  <si>
    <t>STYLE PICTURES</t>
  </si>
  <si>
    <t>BRANDS AND DESCRIPTION</t>
  </si>
  <si>
    <t>PCS/BAG</t>
  </si>
  <si>
    <r>
      <rPr>
        <b/>
        <sz val="12"/>
        <rFont val="Arial"/>
        <family val="2"/>
      </rPr>
      <t>TTL CTN</t>
    </r>
    <r>
      <rPr>
        <b/>
        <sz val="12"/>
        <rFont val="宋体"/>
        <charset val="134"/>
      </rPr>
      <t>箱数</t>
    </r>
  </si>
  <si>
    <r>
      <rPr>
        <b/>
        <sz val="12"/>
        <rFont val="Arial"/>
        <family val="2"/>
      </rPr>
      <t>TOTAL QTY(PCS)</t>
    </r>
    <r>
      <rPr>
        <b/>
        <sz val="12"/>
        <rFont val="宋体"/>
        <charset val="134"/>
      </rPr>
      <t>数量</t>
    </r>
  </si>
  <si>
    <t>N.W KGT</t>
  </si>
  <si>
    <t>G.W KGT</t>
  </si>
  <si>
    <t>TTL N.W KGT</t>
  </si>
  <si>
    <t>TTL G.W KGT</t>
  </si>
  <si>
    <t>MEAS</t>
  </si>
  <si>
    <t>CBM</t>
  </si>
  <si>
    <t>CM-2025</t>
  </si>
  <si>
    <t>TY25/01MC</t>
  </si>
  <si>
    <t>_</t>
  </si>
  <si>
    <t>40</t>
  </si>
  <si>
    <t>TY25/02HC</t>
  </si>
  <si>
    <t>50</t>
  </si>
  <si>
    <t>TY25/03HC</t>
  </si>
  <si>
    <t>39</t>
  </si>
  <si>
    <t>TY25/04HC</t>
  </si>
  <si>
    <t>82</t>
  </si>
  <si>
    <t>24085C</t>
  </si>
  <si>
    <t>TY25/06MC</t>
  </si>
  <si>
    <t>80</t>
  </si>
  <si>
    <t>25023D</t>
  </si>
  <si>
    <t>TY25/05HC</t>
  </si>
  <si>
    <t>66</t>
  </si>
  <si>
    <t>CONTAINER NO.BEAU5917469</t>
  </si>
  <si>
    <t xml:space="preserve">          </t>
  </si>
  <si>
    <t>SEAL NO.WHLW527931</t>
  </si>
  <si>
    <t>COMERCIALIZADORA CATEXTON S.A. DE C.V.</t>
  </si>
  <si>
    <t>RFC: CCA231212MZ9</t>
  </si>
  <si>
    <t>DIRECCION: CALLE 19,  No. EXT. 340  No. , INT. PISO 3 DEPTO 306-A</t>
  </si>
  <si>
    <t>COLONIA: SODZIL NORTE (ENTRE CALLE 40 Y CALLE 42)</t>
  </si>
  <si>
    <t xml:space="preserve">MERIDA YUCATAN </t>
  </si>
  <si>
    <t>C.P. 97115</t>
  </si>
  <si>
    <t>CONTACTO:</t>
  </si>
  <si>
    <t>CARLOS OMAR MORENO BECERRA</t>
  </si>
  <si>
    <t>importaciones.logistica2023@gmail.com</t>
  </si>
  <si>
    <t>PRECIO</t>
  </si>
  <si>
    <t>MARCA</t>
  </si>
  <si>
    <t>COMPOSICION</t>
  </si>
  <si>
    <t xml:space="preserve">100% POLIESTER </t>
  </si>
  <si>
    <t xml:space="preserve">TORONTO UTILITY </t>
  </si>
  <si>
    <t>GREEN BERRY</t>
  </si>
  <si>
    <t>CHM ACOLCHADA, DOBLE VISTA PARA DAMA</t>
  </si>
  <si>
    <t xml:space="preserve">CHM DE MONTAÑA PARA CABALLERO </t>
  </si>
  <si>
    <t xml:space="preserve">CHM CABALLERO </t>
  </si>
  <si>
    <t xml:space="preserve">CHM TIPO MALBORO PARA CABALLERO </t>
  </si>
  <si>
    <t>CHM ACOLCHADA PANA CON FUR EN GORRO PARA DAMA</t>
  </si>
  <si>
    <t xml:space="preserve">CHM CON RELIEVE PARA CAB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</si>
</sst>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￥&quot;* #,##0.00_ ;_ &quot;￥&quot;* \-#,##0.00_ ;_ &quot;￥&quot;* &quot;-&quot;??_ ;_ @_ "/>
    <numFmt numFmtId="165" formatCode="0_ "/>
    <numFmt numFmtId="166" formatCode="0.0_ "/>
    <numFmt numFmtId="167" formatCode="0.00_ "/>
    <numFmt numFmtId="168" formatCode="_-[$$-80A]* #,##0.00_-;\-[$$-80A]* #,##0.00_-;_-[$$-80A]* &quot;-&quot;??_-;_-@_-"/>
  </numFmts>
  <fonts count="10">
    <font>
      <sz val="11"/>
      <color theme="1"/>
      <name val="Calibri"/>
      <charset val="134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164" fontId="9" fillId="0" borderId="0" applyFont="0" applyFill="0" applyBorder="0" applyAlignment="0" applyProtection="0">
      <alignment vertical="center"/>
    </xf>
    <xf numFmtId="0" fontId="6" fillId="0" borderId="0"/>
    <xf numFmtId="0" fontId="7" fillId="0" borderId="0"/>
  </cellStyleXfs>
  <cellXfs count="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3" fontId="2" fillId="2" borderId="11" xfId="2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3" fontId="2" fillId="3" borderId="11" xfId="2" applyNumberFormat="1" applyFont="1" applyFill="1" applyBorder="1" applyAlignment="1">
      <alignment horizontal="center" vertical="center"/>
    </xf>
    <xf numFmtId="3" fontId="2" fillId="0" borderId="11" xfId="2" applyNumberFormat="1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66" fontId="3" fillId="2" borderId="11" xfId="2" applyNumberFormat="1" applyFont="1" applyFill="1" applyBorder="1" applyAlignment="1">
      <alignment horizontal="center" vertical="center"/>
    </xf>
    <xf numFmtId="165" fontId="3" fillId="2" borderId="11" xfId="2" applyNumberFormat="1" applyFont="1" applyFill="1" applyBorder="1" applyAlignment="1">
      <alignment horizontal="center" vertical="center"/>
    </xf>
    <xf numFmtId="166" fontId="3" fillId="3" borderId="11" xfId="2" applyNumberFormat="1" applyFont="1" applyFill="1" applyBorder="1" applyAlignment="1">
      <alignment horizontal="center" vertical="center"/>
    </xf>
    <xf numFmtId="165" fontId="3" fillId="3" borderId="11" xfId="2" applyNumberFormat="1" applyFont="1" applyFill="1" applyBorder="1" applyAlignment="1">
      <alignment horizontal="center" vertical="center"/>
    </xf>
    <xf numFmtId="166" fontId="3" fillId="0" borderId="11" xfId="2" applyNumberFormat="1" applyFont="1" applyBorder="1" applyAlignment="1">
      <alignment horizontal="center" vertical="center"/>
    </xf>
    <xf numFmtId="165" fontId="3" fillId="0" borderId="11" xfId="2" applyNumberFormat="1" applyFont="1" applyBorder="1" applyAlignment="1">
      <alignment horizontal="center" vertical="center"/>
    </xf>
    <xf numFmtId="49" fontId="2" fillId="2" borderId="11" xfId="2" applyNumberFormat="1" applyFont="1" applyFill="1" applyBorder="1" applyAlignment="1">
      <alignment horizontal="center" vertical="center"/>
    </xf>
    <xf numFmtId="4" fontId="2" fillId="2" borderId="11" xfId="2" applyNumberFormat="1" applyFont="1" applyFill="1" applyBorder="1" applyAlignment="1">
      <alignment horizontal="center" vertical="center"/>
    </xf>
    <xf numFmtId="49" fontId="2" fillId="3" borderId="11" xfId="2" applyNumberFormat="1" applyFont="1" applyFill="1" applyBorder="1" applyAlignment="1">
      <alignment horizontal="center" vertical="center"/>
    </xf>
    <xf numFmtId="4" fontId="2" fillId="3" borderId="11" xfId="2" applyNumberFormat="1" applyFont="1" applyFill="1" applyBorder="1" applyAlignment="1">
      <alignment horizontal="center" vertical="center"/>
    </xf>
    <xf numFmtId="49" fontId="2" fillId="0" borderId="11" xfId="2" applyNumberFormat="1" applyFont="1" applyBorder="1" applyAlignment="1">
      <alignment horizontal="center" vertical="center"/>
    </xf>
    <xf numFmtId="4" fontId="2" fillId="0" borderId="11" xfId="2" applyNumberFormat="1" applyFont="1" applyBorder="1" applyAlignment="1">
      <alignment horizontal="center" vertical="center"/>
    </xf>
    <xf numFmtId="167" fontId="3" fillId="0" borderId="11" xfId="0" applyNumberFormat="1" applyFont="1" applyBorder="1">
      <alignment vertical="center"/>
    </xf>
    <xf numFmtId="168" fontId="2" fillId="0" borderId="11" xfId="1" applyNumberFormat="1" applyFont="1" applyBorder="1" applyAlignment="1">
      <alignment horizontal="center" vertical="center" wrapText="1"/>
    </xf>
    <xf numFmtId="168" fontId="3" fillId="0" borderId="11" xfId="1" applyNumberFormat="1" applyFont="1" applyBorder="1">
      <alignment vertical="center"/>
    </xf>
    <xf numFmtId="168" fontId="0" fillId="0" borderId="0" xfId="1" applyNumberFormat="1" applyFont="1">
      <alignment vertical="center"/>
    </xf>
    <xf numFmtId="168" fontId="5" fillId="0" borderId="0" xfId="1" applyNumberFormat="1" applyFont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49" fontId="1" fillId="0" borderId="6" xfId="2" applyNumberFormat="1" applyFont="1" applyBorder="1" applyAlignment="1">
      <alignment horizontal="center" vertical="center"/>
    </xf>
    <xf numFmtId="49" fontId="1" fillId="0" borderId="10" xfId="2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1" fillId="0" borderId="12" xfId="2" applyNumberFormat="1" applyFont="1" applyBorder="1" applyAlignment="1">
      <alignment horizontal="center" vertical="center"/>
    </xf>
    <xf numFmtId="49" fontId="1" fillId="0" borderId="3" xfId="2" applyNumberFormat="1" applyFont="1" applyBorder="1" applyAlignment="1">
      <alignment horizontal="center" vertical="center"/>
    </xf>
    <xf numFmtId="49" fontId="1" fillId="0" borderId="14" xfId="2" applyNumberFormat="1" applyFont="1" applyBorder="1" applyAlignment="1">
      <alignment horizontal="center" vertical="center"/>
    </xf>
    <xf numFmtId="49" fontId="1" fillId="0" borderId="13" xfId="2" applyNumberFormat="1" applyFont="1" applyBorder="1" applyAlignment="1">
      <alignment horizontal="center" vertical="center"/>
    </xf>
    <xf numFmtId="49" fontId="1" fillId="0" borderId="0" xfId="2" applyNumberFormat="1" applyFont="1" applyAlignment="1">
      <alignment horizontal="center" vertical="center"/>
    </xf>
    <xf numFmtId="49" fontId="1" fillId="0" borderId="15" xfId="2" applyNumberFormat="1" applyFont="1" applyBorder="1" applyAlignment="1">
      <alignment horizontal="center" vertical="center"/>
    </xf>
    <xf numFmtId="168" fontId="2" fillId="0" borderId="16" xfId="1" applyNumberFormat="1" applyFont="1" applyBorder="1" applyAlignment="1">
      <alignment horizontal="center" vertical="center"/>
    </xf>
    <xf numFmtId="168" fontId="2" fillId="0" borderId="17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8" fontId="2" fillId="3" borderId="19" xfId="1" applyNumberFormat="1" applyFont="1" applyFill="1" applyBorder="1" applyAlignment="1">
      <alignment horizontal="center" vertical="center" wrapText="1"/>
    </xf>
    <xf numFmtId="168" fontId="2" fillId="3" borderId="18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5" fontId="1" fillId="0" borderId="6" xfId="2" applyNumberFormat="1" applyFont="1" applyBorder="1" applyAlignment="1">
      <alignment horizontal="center" vertical="center"/>
    </xf>
    <xf numFmtId="165" fontId="1" fillId="0" borderId="10" xfId="2" applyNumberFormat="1" applyFont="1" applyBorder="1" applyAlignment="1">
      <alignment horizontal="center" vertical="center"/>
    </xf>
  </cellXfs>
  <cellStyles count="4">
    <cellStyle name="Moneda" xfId="1" builtinId="4"/>
    <cellStyle name="Normal" xfId="0" builtinId="0"/>
    <cellStyle name="Normal 2" xfId="2" xr:uid="{00000000-0005-0000-0000-000031000000}"/>
    <cellStyle name="常规_Sheet1" xfId="3" xr:uid="{00000000-0005-0000-0000-000032000000}"/>
  </cellStyles>
  <dxfs count="0"/>
  <tableStyles count="0" defaultTableStyle="TableStyleMedium2" defaultPivotStyle="PivotStyleLight16"/>
  <colors>
    <mruColors>
      <color rgb="FFFF0000"/>
      <color rgb="FFFFFF00"/>
      <color rgb="FFD07C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27"/>
  <sheetViews>
    <sheetView tabSelected="1" workbookViewId="0">
      <selection activeCell="G9" sqref="G9"/>
    </sheetView>
  </sheetViews>
  <sheetFormatPr baseColWidth="10" defaultColWidth="9" defaultRowHeight="14.5"/>
  <cols>
    <col min="1" max="1" width="9.6328125" customWidth="1"/>
    <col min="2" max="2" width="16.90625" customWidth="1"/>
    <col min="3" max="5" width="4.08984375" customWidth="1"/>
    <col min="6" max="6" width="14.81640625" customWidth="1"/>
    <col min="7" max="7" width="27.08984375" customWidth="1"/>
    <col min="8" max="8" width="16.1796875" style="30" customWidth="1"/>
    <col min="9" max="10" width="16.1796875" customWidth="1"/>
    <col min="11" max="11" width="18.08984375" customWidth="1"/>
    <col min="12" max="12" width="5.81640625" customWidth="1"/>
    <col min="14" max="15" width="6.36328125" customWidth="1"/>
    <col min="18" max="20" width="5" customWidth="1"/>
    <col min="22" max="22" width="9" style="1"/>
  </cols>
  <sheetData>
    <row r="2" spans="1:24" ht="16" thickBo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4"/>
      <c r="Q2" s="54"/>
      <c r="R2" s="53"/>
      <c r="S2" s="53"/>
      <c r="T2" s="53"/>
      <c r="U2" s="53"/>
    </row>
    <row r="3" spans="1:24" ht="15" customHeight="1" thickBot="1">
      <c r="A3" s="55" t="s">
        <v>1</v>
      </c>
      <c r="B3" s="55" t="s">
        <v>2</v>
      </c>
      <c r="C3" s="35" t="s">
        <v>3</v>
      </c>
      <c r="D3" s="36"/>
      <c r="E3" s="37"/>
      <c r="F3" s="57" t="s">
        <v>4</v>
      </c>
      <c r="G3" s="58" t="s">
        <v>5</v>
      </c>
      <c r="H3" s="47" t="s">
        <v>43</v>
      </c>
      <c r="I3" s="49" t="s">
        <v>44</v>
      </c>
      <c r="J3" s="49" t="s">
        <v>45</v>
      </c>
      <c r="K3" s="33" t="s">
        <v>6</v>
      </c>
      <c r="L3" s="33" t="s">
        <v>7</v>
      </c>
      <c r="M3" s="33" t="s">
        <v>8</v>
      </c>
      <c r="N3" s="33" t="s">
        <v>9</v>
      </c>
      <c r="O3" s="33" t="s">
        <v>10</v>
      </c>
      <c r="P3" s="60" t="s">
        <v>11</v>
      </c>
      <c r="Q3" s="60" t="s">
        <v>12</v>
      </c>
      <c r="R3" s="41" t="s">
        <v>13</v>
      </c>
      <c r="S3" s="42"/>
      <c r="T3" s="43"/>
      <c r="U3" s="33" t="s">
        <v>14</v>
      </c>
    </row>
    <row r="4" spans="1:24" ht="15" customHeight="1">
      <c r="A4" s="56"/>
      <c r="B4" s="56"/>
      <c r="C4" s="38"/>
      <c r="D4" s="39"/>
      <c r="E4" s="40"/>
      <c r="F4" s="58"/>
      <c r="G4" s="59"/>
      <c r="H4" s="48"/>
      <c r="I4" s="50"/>
      <c r="J4" s="50"/>
      <c r="K4" s="34"/>
      <c r="L4" s="34"/>
      <c r="M4" s="34"/>
      <c r="N4" s="34"/>
      <c r="O4" s="34"/>
      <c r="P4" s="61"/>
      <c r="Q4" s="61"/>
      <c r="R4" s="44"/>
      <c r="S4" s="45"/>
      <c r="T4" s="46"/>
      <c r="U4" s="34"/>
    </row>
    <row r="5" spans="1:24" ht="62" customHeight="1">
      <c r="A5" s="2" t="s">
        <v>15</v>
      </c>
      <c r="B5" s="3" t="s">
        <v>16</v>
      </c>
      <c r="C5" s="4">
        <v>1</v>
      </c>
      <c r="D5" s="4" t="s">
        <v>17</v>
      </c>
      <c r="E5" s="2">
        <f t="shared" ref="E5:E7" si="0">L5</f>
        <v>150</v>
      </c>
      <c r="F5" s="3"/>
      <c r="G5" s="5" t="s">
        <v>49</v>
      </c>
      <c r="H5" s="28">
        <v>7</v>
      </c>
      <c r="I5" s="32" t="s">
        <v>48</v>
      </c>
      <c r="J5" s="5" t="s">
        <v>46</v>
      </c>
      <c r="K5" s="6">
        <v>20</v>
      </c>
      <c r="L5" s="6">
        <v>150</v>
      </c>
      <c r="M5" s="6">
        <f t="shared" ref="M5:M7" si="1">K5*L5</f>
        <v>3000</v>
      </c>
      <c r="N5" s="15">
        <v>12</v>
      </c>
      <c r="O5" s="15">
        <v>13</v>
      </c>
      <c r="P5" s="16">
        <f t="shared" ref="P5:P7" si="2">L5*N5</f>
        <v>1800</v>
      </c>
      <c r="Q5" s="16">
        <f t="shared" ref="Q5:Q7" si="3">L5*O5</f>
        <v>1950</v>
      </c>
      <c r="R5" s="6">
        <v>56</v>
      </c>
      <c r="S5" s="6">
        <v>48</v>
      </c>
      <c r="T5" s="21" t="s">
        <v>18</v>
      </c>
      <c r="U5" s="22">
        <f t="shared" ref="U5:U7" si="4">R5*S5*T5*L5/1000000</f>
        <v>16.128</v>
      </c>
    </row>
    <row r="6" spans="1:24" ht="62" customHeight="1">
      <c r="A6" s="7" t="s">
        <v>15</v>
      </c>
      <c r="B6" s="8" t="s">
        <v>19</v>
      </c>
      <c r="C6" s="8">
        <v>1</v>
      </c>
      <c r="D6" s="8" t="s">
        <v>17</v>
      </c>
      <c r="E6" s="7">
        <f t="shared" si="0"/>
        <v>98</v>
      </c>
      <c r="F6" s="8"/>
      <c r="G6" s="9" t="s">
        <v>50</v>
      </c>
      <c r="H6" s="51">
        <v>6</v>
      </c>
      <c r="I6" s="9" t="s">
        <v>47</v>
      </c>
      <c r="J6" s="9" t="s">
        <v>46</v>
      </c>
      <c r="K6" s="10">
        <v>20</v>
      </c>
      <c r="L6" s="10">
        <v>98</v>
      </c>
      <c r="M6" s="10">
        <f t="shared" si="1"/>
        <v>1960</v>
      </c>
      <c r="N6" s="17">
        <v>17</v>
      </c>
      <c r="O6" s="17">
        <v>18</v>
      </c>
      <c r="P6" s="18">
        <f t="shared" si="2"/>
        <v>1666</v>
      </c>
      <c r="Q6" s="18">
        <f t="shared" si="3"/>
        <v>1764</v>
      </c>
      <c r="R6" s="10">
        <v>62</v>
      </c>
      <c r="S6" s="10">
        <v>37</v>
      </c>
      <c r="T6" s="23" t="s">
        <v>20</v>
      </c>
      <c r="U6" s="24">
        <f t="shared" si="4"/>
        <v>11.240600000000001</v>
      </c>
    </row>
    <row r="7" spans="1:24" ht="62" customHeight="1">
      <c r="A7" s="7" t="s">
        <v>15</v>
      </c>
      <c r="B7" s="8" t="s">
        <v>19</v>
      </c>
      <c r="C7" s="8">
        <v>1</v>
      </c>
      <c r="D7" s="8" t="s">
        <v>17</v>
      </c>
      <c r="E7" s="7">
        <f t="shared" si="0"/>
        <v>1</v>
      </c>
      <c r="F7" s="8"/>
      <c r="G7" s="9" t="s">
        <v>50</v>
      </c>
      <c r="H7" s="52"/>
      <c r="I7" s="9" t="s">
        <v>47</v>
      </c>
      <c r="J7" s="9" t="s">
        <v>46</v>
      </c>
      <c r="K7" s="10">
        <v>4</v>
      </c>
      <c r="L7" s="10">
        <v>1</v>
      </c>
      <c r="M7" s="10">
        <f t="shared" si="1"/>
        <v>4</v>
      </c>
      <c r="N7" s="17">
        <v>3</v>
      </c>
      <c r="O7" s="17">
        <v>4</v>
      </c>
      <c r="P7" s="18">
        <f t="shared" si="2"/>
        <v>3</v>
      </c>
      <c r="Q7" s="18">
        <f t="shared" si="3"/>
        <v>4</v>
      </c>
      <c r="R7" s="10">
        <v>62</v>
      </c>
      <c r="S7" s="10">
        <v>37</v>
      </c>
      <c r="T7" s="23" t="s">
        <v>20</v>
      </c>
      <c r="U7" s="24">
        <f t="shared" si="4"/>
        <v>0.1147</v>
      </c>
    </row>
    <row r="8" spans="1:24" ht="62" customHeight="1">
      <c r="A8" s="2" t="s">
        <v>15</v>
      </c>
      <c r="B8" s="3" t="s">
        <v>21</v>
      </c>
      <c r="C8" s="3">
        <v>1</v>
      </c>
      <c r="D8" s="3" t="s">
        <v>17</v>
      </c>
      <c r="E8" s="2">
        <f t="shared" ref="E8:E12" si="5">L8</f>
        <v>56</v>
      </c>
      <c r="F8" s="3"/>
      <c r="G8" s="5" t="s">
        <v>51</v>
      </c>
      <c r="H8" s="28">
        <v>8.5</v>
      </c>
      <c r="I8" s="5" t="s">
        <v>47</v>
      </c>
      <c r="J8" s="5" t="s">
        <v>46</v>
      </c>
      <c r="K8" s="11">
        <v>18</v>
      </c>
      <c r="L8" s="11">
        <v>56</v>
      </c>
      <c r="M8" s="11">
        <f t="shared" ref="M8:M12" si="6">K8*L8</f>
        <v>1008</v>
      </c>
      <c r="N8" s="19">
        <v>20</v>
      </c>
      <c r="O8" s="19">
        <v>21</v>
      </c>
      <c r="P8" s="20">
        <f t="shared" ref="P8:P12" si="7">L8*N8</f>
        <v>1120</v>
      </c>
      <c r="Q8" s="20">
        <f t="shared" ref="Q8:Q12" si="8">L8*O8</f>
        <v>1176</v>
      </c>
      <c r="R8" s="11">
        <v>58</v>
      </c>
      <c r="S8" s="11">
        <v>38</v>
      </c>
      <c r="T8" s="25" t="s">
        <v>22</v>
      </c>
      <c r="U8" s="26">
        <f t="shared" ref="U8:U12" si="9">R8*S8*T8*L8/1000000</f>
        <v>4.813536</v>
      </c>
      <c r="V8" s="1">
        <v>250668</v>
      </c>
    </row>
    <row r="9" spans="1:24" ht="62" customHeight="1">
      <c r="A9" s="2" t="s">
        <v>15</v>
      </c>
      <c r="B9" s="3" t="s">
        <v>23</v>
      </c>
      <c r="C9" s="3">
        <v>1</v>
      </c>
      <c r="D9" s="3" t="s">
        <v>17</v>
      </c>
      <c r="E9" s="2">
        <f t="shared" si="5"/>
        <v>84</v>
      </c>
      <c r="F9" s="3"/>
      <c r="G9" s="5" t="s">
        <v>52</v>
      </c>
      <c r="H9" s="28">
        <v>7.7</v>
      </c>
      <c r="I9" s="5" t="s">
        <v>47</v>
      </c>
      <c r="J9" s="5" t="s">
        <v>46</v>
      </c>
      <c r="K9" s="11">
        <v>24</v>
      </c>
      <c r="L9" s="11">
        <v>84</v>
      </c>
      <c r="M9" s="11">
        <f t="shared" si="6"/>
        <v>2016</v>
      </c>
      <c r="N9" s="19">
        <v>20</v>
      </c>
      <c r="O9" s="19">
        <v>21</v>
      </c>
      <c r="P9" s="20">
        <f t="shared" si="7"/>
        <v>1680</v>
      </c>
      <c r="Q9" s="20">
        <f t="shared" si="8"/>
        <v>1764</v>
      </c>
      <c r="R9" s="11">
        <v>56</v>
      </c>
      <c r="S9" s="11">
        <v>37</v>
      </c>
      <c r="T9" s="25" t="s">
        <v>24</v>
      </c>
      <c r="U9" s="26">
        <f t="shared" si="9"/>
        <v>14.271936</v>
      </c>
      <c r="V9" s="1" t="s">
        <v>25</v>
      </c>
    </row>
    <row r="10" spans="1:24" ht="62" customHeight="1">
      <c r="A10" s="2" t="s">
        <v>15</v>
      </c>
      <c r="B10" s="3" t="s">
        <v>26</v>
      </c>
      <c r="C10" s="3">
        <v>1</v>
      </c>
      <c r="D10" s="3" t="s">
        <v>17</v>
      </c>
      <c r="E10" s="2">
        <f t="shared" si="5"/>
        <v>50</v>
      </c>
      <c r="F10" s="3"/>
      <c r="G10" s="5" t="s">
        <v>53</v>
      </c>
      <c r="H10" s="28">
        <v>7</v>
      </c>
      <c r="I10" s="5" t="s">
        <v>48</v>
      </c>
      <c r="J10" s="5" t="s">
        <v>46</v>
      </c>
      <c r="K10" s="11">
        <v>30</v>
      </c>
      <c r="L10" s="11">
        <v>50</v>
      </c>
      <c r="M10" s="11">
        <f t="shared" si="6"/>
        <v>1500</v>
      </c>
      <c r="N10" s="19">
        <v>29</v>
      </c>
      <c r="O10" s="19">
        <v>30</v>
      </c>
      <c r="P10" s="20">
        <f t="shared" si="7"/>
        <v>1450</v>
      </c>
      <c r="Q10" s="20">
        <f t="shared" si="8"/>
        <v>1500</v>
      </c>
      <c r="R10" s="11">
        <v>58</v>
      </c>
      <c r="S10" s="11">
        <v>48</v>
      </c>
      <c r="T10" s="25" t="s">
        <v>27</v>
      </c>
      <c r="U10" s="26">
        <f t="shared" si="9"/>
        <v>11.135999999999999</v>
      </c>
      <c r="V10" s="1" t="s">
        <v>28</v>
      </c>
    </row>
    <row r="11" spans="1:24" ht="62" customHeight="1">
      <c r="A11" s="7" t="s">
        <v>15</v>
      </c>
      <c r="B11" s="8" t="s">
        <v>29</v>
      </c>
      <c r="C11" s="8">
        <v>1</v>
      </c>
      <c r="D11" s="8" t="s">
        <v>17</v>
      </c>
      <c r="E11" s="7">
        <f t="shared" si="5"/>
        <v>78</v>
      </c>
      <c r="F11" s="8"/>
      <c r="G11" s="9" t="s">
        <v>54</v>
      </c>
      <c r="H11" s="51">
        <v>9.1999999999999993</v>
      </c>
      <c r="I11" s="9" t="s">
        <v>47</v>
      </c>
      <c r="J11" s="9" t="s">
        <v>46</v>
      </c>
      <c r="K11" s="10">
        <v>21</v>
      </c>
      <c r="L11" s="10">
        <v>78</v>
      </c>
      <c r="M11" s="10">
        <f t="shared" si="6"/>
        <v>1638</v>
      </c>
      <c r="N11" s="17">
        <v>20</v>
      </c>
      <c r="O11" s="17">
        <v>21</v>
      </c>
      <c r="P11" s="18">
        <f t="shared" si="7"/>
        <v>1560</v>
      </c>
      <c r="Q11" s="18">
        <f t="shared" si="8"/>
        <v>1638</v>
      </c>
      <c r="R11" s="10">
        <v>58</v>
      </c>
      <c r="S11" s="10">
        <v>36</v>
      </c>
      <c r="T11" s="23" t="s">
        <v>30</v>
      </c>
      <c r="U11" s="24">
        <f t="shared" si="9"/>
        <v>10.749024</v>
      </c>
    </row>
    <row r="12" spans="1:24" ht="62" customHeight="1">
      <c r="A12" s="7" t="s">
        <v>15</v>
      </c>
      <c r="B12" s="8" t="s">
        <v>29</v>
      </c>
      <c r="C12" s="8">
        <v>1</v>
      </c>
      <c r="D12" s="8" t="s">
        <v>17</v>
      </c>
      <c r="E12" s="7">
        <f t="shared" si="5"/>
        <v>1</v>
      </c>
      <c r="F12" s="8"/>
      <c r="G12" s="9" t="s">
        <v>54</v>
      </c>
      <c r="H12" s="52"/>
      <c r="I12" s="9" t="s">
        <v>47</v>
      </c>
      <c r="J12" s="9" t="s">
        <v>46</v>
      </c>
      <c r="K12" s="10">
        <v>14</v>
      </c>
      <c r="L12" s="10">
        <v>1</v>
      </c>
      <c r="M12" s="10">
        <f t="shared" si="6"/>
        <v>14</v>
      </c>
      <c r="N12" s="17">
        <v>11</v>
      </c>
      <c r="O12" s="17">
        <v>12</v>
      </c>
      <c r="P12" s="18">
        <f t="shared" si="7"/>
        <v>11</v>
      </c>
      <c r="Q12" s="18">
        <f t="shared" si="8"/>
        <v>12</v>
      </c>
      <c r="R12" s="10">
        <v>58</v>
      </c>
      <c r="S12" s="10">
        <v>36</v>
      </c>
      <c r="T12" s="23" t="s">
        <v>30</v>
      </c>
      <c r="U12" s="24">
        <f t="shared" si="9"/>
        <v>0.13780800000000001</v>
      </c>
    </row>
    <row r="13" spans="1:24" ht="25" customHeight="1">
      <c r="A13" s="12"/>
      <c r="B13" s="12"/>
      <c r="C13" s="12"/>
      <c r="D13" s="12"/>
      <c r="E13" s="12"/>
      <c r="F13" s="12"/>
      <c r="G13" s="12"/>
      <c r="H13" s="29"/>
      <c r="I13" s="12"/>
      <c r="J13" s="12"/>
      <c r="K13" s="12"/>
      <c r="L13" s="12">
        <f>SUM(L5:L12)</f>
        <v>518</v>
      </c>
      <c r="M13" s="12">
        <f>SUM(M5:M12)</f>
        <v>11140</v>
      </c>
      <c r="N13" s="12"/>
      <c r="O13" s="12"/>
      <c r="P13" s="12">
        <f>SUM(P5:P12)</f>
        <v>9290</v>
      </c>
      <c r="Q13" s="12">
        <f>SUM(Q5:Q12)</f>
        <v>9808</v>
      </c>
      <c r="R13" s="12"/>
      <c r="S13" s="12"/>
      <c r="T13" s="12"/>
      <c r="U13" s="27">
        <f>SUM(U5:U12)</f>
        <v>68.591604000000004</v>
      </c>
    </row>
    <row r="14" spans="1:24">
      <c r="A14" t="s">
        <v>31</v>
      </c>
      <c r="X14" t="s">
        <v>32</v>
      </c>
    </row>
    <row r="15" spans="1:24" ht="21" customHeight="1">
      <c r="A15" t="s">
        <v>33</v>
      </c>
      <c r="F15" s="13"/>
      <c r="G15" s="14"/>
      <c r="H15" s="31"/>
      <c r="I15" s="14"/>
      <c r="J15" s="14"/>
    </row>
    <row r="18" spans="1:1">
      <c r="A18" t="s">
        <v>34</v>
      </c>
    </row>
    <row r="19" spans="1:1">
      <c r="A19" t="s">
        <v>35</v>
      </c>
    </row>
    <row r="20" spans="1:1">
      <c r="A20" t="s">
        <v>36</v>
      </c>
    </row>
    <row r="21" spans="1:1">
      <c r="A21" t="s">
        <v>37</v>
      </c>
    </row>
    <row r="22" spans="1:1">
      <c r="A22" t="s">
        <v>38</v>
      </c>
    </row>
    <row r="23" spans="1:1">
      <c r="A23" t="s">
        <v>39</v>
      </c>
    </row>
    <row r="24" spans="1:1">
      <c r="A24" t="s">
        <v>40</v>
      </c>
    </row>
    <row r="25" spans="1:1">
      <c r="A25" t="s">
        <v>41</v>
      </c>
    </row>
    <row r="26" spans="1:1">
      <c r="A26" t="s">
        <v>42</v>
      </c>
    </row>
    <row r="27" spans="1:1">
      <c r="A27">
        <v>5536458098</v>
      </c>
    </row>
  </sheetData>
  <mergeCells count="20">
    <mergeCell ref="H6:H7"/>
    <mergeCell ref="H11:H12"/>
    <mergeCell ref="A2:U2"/>
    <mergeCell ref="A3:A4"/>
    <mergeCell ref="B3:B4"/>
    <mergeCell ref="F3:F4"/>
    <mergeCell ref="G3:G4"/>
    <mergeCell ref="K3:K4"/>
    <mergeCell ref="L3:L4"/>
    <mergeCell ref="M3:M4"/>
    <mergeCell ref="N3:N4"/>
    <mergeCell ref="O3:O4"/>
    <mergeCell ref="P3:P4"/>
    <mergeCell ref="Q3:Q4"/>
    <mergeCell ref="U3:U4"/>
    <mergeCell ref="C3:E4"/>
    <mergeCell ref="R3:T4"/>
    <mergeCell ref="H3:H4"/>
    <mergeCell ref="J3:J4"/>
    <mergeCell ref="I3:I4"/>
  </mergeCells>
  <pageMargins left="0.75" right="0.75" top="1" bottom="1" header="0.5" footer="0.5"/>
  <pageSetup paperSize="9" scale="6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Hunab Cuenta</cp:lastModifiedBy>
  <dcterms:created xsi:type="dcterms:W3CDTF">2024-07-22T00:52:00Z</dcterms:created>
  <dcterms:modified xsi:type="dcterms:W3CDTF">2026-06-02T18:56:10Z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FE09B87BD1A04711B9813CA334839C55_13</vt:lpwstr>
  </property>
  <property fmtid="{D5CDD505-2E9C-101B-9397-08002B2CF9AE}" pid="3" name="KSOProductBuildVer">
    <vt:lpwstr>2052-12.1.0.21915</vt:lpwstr>
  </property>
</Properties>
</file>