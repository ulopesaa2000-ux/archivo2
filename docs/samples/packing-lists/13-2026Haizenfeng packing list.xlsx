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D:\1uriel\dowloads oficina\"/>
    </mc:Choice>
  </mc:AlternateContent>
  <xr:revisionPtr revIDLastSave="0" documentId="13_ncr:1_{F546C76A-4402-4E6A-932D-849B6F4EE697}" xr6:coauthVersionLast="47" xr6:coauthVersionMax="47" xr10:uidLastSave="{00000000-0000-0000-0000-000000000000}"/>
  <bookViews>
    <workbookView xWindow="-103" yWindow="-103" windowWidth="24892" windowHeight="15943" tabRatio="922" xr2:uid="{00000000-000D-0000-FFFF-FFFF00000000}"/>
  </bookViews>
  <sheets>
    <sheet name="装箱单" sheetId="1" r:id="rId1"/>
    <sheet name="HF26-05USD#" sheetId="4" r:id="rId2"/>
    <sheet name="HF26-10USD#" sheetId="5" r:id="rId3"/>
    <sheet name="HF26-11USD#" sheetId="6" r:id="rId4"/>
    <sheet name="HF26-12USD#" sheetId="7" r:id="rId5"/>
    <sheet name="HF26-13USD#" sheetId="8" r:id="rId6"/>
    <sheet name="HF26-06MSD#" sheetId="9" r:id="rId7"/>
    <sheet name="HF26-07MSD#" sheetId="10" r:id="rId8"/>
    <sheet name="HF26-08MSD#" sheetId="11" r:id="rId9"/>
    <sheet name="HF26-14MSD#" sheetId="12" r:id="rId10"/>
  </sheets>
  <definedNames>
    <definedName name="_xlnm.Print_Area" localSheetId="3">'HF26-11USD#'!$A$1:$U$28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5" i="12" l="1"/>
  <c r="U5" i="12" s="1"/>
  <c r="U8" i="12" s="1"/>
  <c r="P5" i="12"/>
  <c r="P8" i="12" s="1"/>
  <c r="O5" i="12"/>
  <c r="O8" i="12" s="1"/>
  <c r="P8" i="10"/>
  <c r="T5" i="10"/>
  <c r="U5" i="10" s="1"/>
  <c r="U8" i="10" s="1"/>
  <c r="P5" i="10"/>
  <c r="O5" i="10"/>
  <c r="O8" i="10" s="1"/>
  <c r="T5" i="9"/>
  <c r="U5" i="9" s="1"/>
  <c r="U8" i="9" s="1"/>
  <c r="P5" i="9"/>
  <c r="P8" i="9" s="1"/>
  <c r="O5" i="9"/>
  <c r="O8" i="9" s="1"/>
  <c r="P5" i="5"/>
  <c r="P8" i="5" s="1"/>
  <c r="O5" i="5"/>
  <c r="O8" i="5" s="1"/>
  <c r="T8" i="11"/>
  <c r="U5" i="11"/>
  <c r="U11" i="11" s="1"/>
  <c r="T5" i="11"/>
  <c r="T8" i="7"/>
  <c r="U5" i="7"/>
  <c r="U11" i="7" s="1"/>
  <c r="T5" i="7"/>
  <c r="I7" i="12"/>
  <c r="I6" i="12"/>
  <c r="I5" i="12"/>
  <c r="K5" i="12" s="1"/>
  <c r="L5" i="12" s="1"/>
  <c r="J23" i="1" l="1"/>
  <c r="J8" i="12"/>
  <c r="L8" i="12"/>
  <c r="J11" i="11"/>
  <c r="I10" i="11"/>
  <c r="I9" i="11"/>
  <c r="I8" i="11"/>
  <c r="K8" i="11" s="1"/>
  <c r="L8" i="11" s="1"/>
  <c r="I7" i="11"/>
  <c r="I6" i="11"/>
  <c r="P5" i="11"/>
  <c r="P11" i="11" s="1"/>
  <c r="O5" i="11"/>
  <c r="O11" i="11" s="1"/>
  <c r="K5" i="11"/>
  <c r="L5" i="11" s="1"/>
  <c r="I5" i="11"/>
  <c r="J8" i="10"/>
  <c r="I7" i="10"/>
  <c r="I6" i="10"/>
  <c r="I5" i="10"/>
  <c r="K5" i="10" s="1"/>
  <c r="L5" i="10" s="1"/>
  <c r="L8" i="10" s="1"/>
  <c r="J8" i="9"/>
  <c r="I7" i="9"/>
  <c r="I6" i="9"/>
  <c r="I5" i="9"/>
  <c r="K5" i="9" s="1"/>
  <c r="L5" i="9" s="1"/>
  <c r="L8" i="9" s="1"/>
  <c r="J14" i="8"/>
  <c r="I13" i="8"/>
  <c r="I12" i="8"/>
  <c r="T11" i="8"/>
  <c r="U11" i="8" s="1"/>
  <c r="P11" i="8"/>
  <c r="O11" i="8"/>
  <c r="I11" i="8"/>
  <c r="K11" i="8" s="1"/>
  <c r="L11" i="8" s="1"/>
  <c r="I10" i="8"/>
  <c r="I9" i="8"/>
  <c r="T8" i="8"/>
  <c r="U8" i="8" s="1"/>
  <c r="P8" i="8"/>
  <c r="O8" i="8"/>
  <c r="I8" i="8"/>
  <c r="K8" i="8" s="1"/>
  <c r="L8" i="8" s="1"/>
  <c r="I7" i="8"/>
  <c r="I6" i="8"/>
  <c r="U5" i="8"/>
  <c r="U14" i="8" s="1"/>
  <c r="T5" i="8"/>
  <c r="P5" i="8"/>
  <c r="O5" i="8"/>
  <c r="I5" i="8"/>
  <c r="K5" i="8" s="1"/>
  <c r="L5" i="8" s="1"/>
  <c r="J11" i="7"/>
  <c r="I10" i="7"/>
  <c r="I9" i="7"/>
  <c r="I8" i="7"/>
  <c r="K8" i="7" s="1"/>
  <c r="L8" i="7" s="1"/>
  <c r="I7" i="7"/>
  <c r="I6" i="7"/>
  <c r="P5" i="7"/>
  <c r="P11" i="7" s="1"/>
  <c r="O5" i="7"/>
  <c r="O11" i="7" s="1"/>
  <c r="I5" i="7"/>
  <c r="K5" i="7" s="1"/>
  <c r="L5" i="7" s="1"/>
  <c r="L11" i="7" s="1"/>
  <c r="U14" i="6"/>
  <c r="P14" i="6"/>
  <c r="O14" i="6"/>
  <c r="J14" i="6"/>
  <c r="I13" i="6"/>
  <c r="I12" i="6"/>
  <c r="T11" i="6"/>
  <c r="I11" i="6"/>
  <c r="K11" i="6" s="1"/>
  <c r="L11" i="6" s="1"/>
  <c r="I9" i="6"/>
  <c r="T8" i="6"/>
  <c r="I8" i="6"/>
  <c r="K8" i="6" s="1"/>
  <c r="L8" i="6" s="1"/>
  <c r="I7" i="6"/>
  <c r="I6" i="6"/>
  <c r="U5" i="6"/>
  <c r="T5" i="6"/>
  <c r="P5" i="6"/>
  <c r="O5" i="6"/>
  <c r="I5" i="6"/>
  <c r="K5" i="6" s="1"/>
  <c r="L5" i="6" s="1"/>
  <c r="J8" i="5"/>
  <c r="I7" i="5"/>
  <c r="I6" i="5"/>
  <c r="T5" i="5"/>
  <c r="U5" i="5" s="1"/>
  <c r="U8" i="5" s="1"/>
  <c r="I5" i="5"/>
  <c r="K5" i="5" s="1"/>
  <c r="L5" i="5" s="1"/>
  <c r="L8" i="5" s="1"/>
  <c r="J11" i="4"/>
  <c r="J25" i="1" s="1"/>
  <c r="I10" i="4"/>
  <c r="I9" i="4"/>
  <c r="T8" i="4"/>
  <c r="I8" i="4"/>
  <c r="K8" i="4" s="1"/>
  <c r="L8" i="4" s="1"/>
  <c r="I7" i="4"/>
  <c r="I6" i="4"/>
  <c r="U5" i="4"/>
  <c r="U11" i="4" s="1"/>
  <c r="T5" i="4"/>
  <c r="P5" i="4"/>
  <c r="P11" i="4" s="1"/>
  <c r="O5" i="4"/>
  <c r="O11" i="4" s="1"/>
  <c r="I5" i="4"/>
  <c r="K5" i="4" s="1"/>
  <c r="L5" i="4" s="1"/>
  <c r="L11" i="4" s="1"/>
  <c r="T21" i="1"/>
  <c r="U21" i="1" s="1"/>
  <c r="P21" i="1"/>
  <c r="O21" i="1"/>
  <c r="L21" i="1"/>
  <c r="W21" i="1" s="1"/>
  <c r="T20" i="1"/>
  <c r="P20" i="1"/>
  <c r="O20" i="1"/>
  <c r="T19" i="1"/>
  <c r="P19" i="1"/>
  <c r="O19" i="1"/>
  <c r="L19" i="1"/>
  <c r="W19" i="1" s="1"/>
  <c r="T18" i="1"/>
  <c r="P18" i="1"/>
  <c r="O18" i="1"/>
  <c r="T17" i="1"/>
  <c r="U17" i="1" s="1"/>
  <c r="P17" i="1"/>
  <c r="O17" i="1"/>
  <c r="L17" i="1"/>
  <c r="W17" i="1" s="1"/>
  <c r="T15" i="1"/>
  <c r="P15" i="1"/>
  <c r="O15" i="1"/>
  <c r="L15" i="1"/>
  <c r="W15" i="1" s="1"/>
  <c r="T14" i="1"/>
  <c r="P14" i="1"/>
  <c r="O14" i="1"/>
  <c r="T13" i="1"/>
  <c r="U13" i="1" s="1"/>
  <c r="P13" i="1"/>
  <c r="O13" i="1"/>
  <c r="L13" i="1"/>
  <c r="W13" i="1" s="1"/>
  <c r="T12" i="1"/>
  <c r="P12" i="1"/>
  <c r="O12" i="1"/>
  <c r="T11" i="1"/>
  <c r="P11" i="1"/>
  <c r="O11" i="1"/>
  <c r="L11" i="1"/>
  <c r="W11" i="1" s="1"/>
  <c r="T10" i="1"/>
  <c r="P10" i="1"/>
  <c r="O10" i="1"/>
  <c r="T9" i="1"/>
  <c r="P9" i="1"/>
  <c r="O9" i="1"/>
  <c r="L9" i="1"/>
  <c r="W9" i="1" s="1"/>
  <c r="T8" i="1"/>
  <c r="P8" i="1"/>
  <c r="O8" i="1"/>
  <c r="T7" i="1"/>
  <c r="P7" i="1"/>
  <c r="O7" i="1"/>
  <c r="L7" i="1"/>
  <c r="W7" i="1" s="1"/>
  <c r="T6" i="1"/>
  <c r="P6" i="1"/>
  <c r="O6" i="1"/>
  <c r="T5" i="1"/>
  <c r="U5" i="1" s="1"/>
  <c r="P5" i="1"/>
  <c r="O5" i="1"/>
  <c r="L5" i="1"/>
  <c r="W5" i="1" s="1"/>
  <c r="P14" i="8" l="1"/>
  <c r="P25" i="1" s="1"/>
  <c r="O14" i="8"/>
  <c r="O25" i="1" s="1"/>
  <c r="U9" i="1"/>
  <c r="L14" i="8"/>
  <c r="L14" i="6"/>
  <c r="L11" i="11"/>
  <c r="U25" i="1"/>
  <c r="U15" i="1"/>
  <c r="U11" i="1"/>
  <c r="U19" i="1"/>
  <c r="U7" i="1"/>
  <c r="O23" i="1"/>
  <c r="W23" i="1"/>
  <c r="P23" i="1"/>
  <c r="L23" i="1"/>
  <c r="U23" i="1" l="1"/>
  <c r="L25" i="1"/>
</calcChain>
</file>

<file path=xl/sharedStrings.xml><?xml version="1.0" encoding="utf-8"?>
<sst xmlns="http://schemas.openxmlformats.org/spreadsheetml/2006/main" count="652" uniqueCount="116">
  <si>
    <r>
      <rPr>
        <sz val="18"/>
        <rFont val="宋体"/>
        <family val="3"/>
        <charset val="134"/>
      </rPr>
      <t>海之风</t>
    </r>
    <r>
      <rPr>
        <sz val="18"/>
        <rFont val="Arial"/>
        <family val="2"/>
      </rPr>
      <t xml:space="preserve"> Packing list</t>
    </r>
  </si>
  <si>
    <r>
      <rPr>
        <sz val="12"/>
        <rFont val="宋体"/>
        <family val="3"/>
        <charset val="134"/>
      </rPr>
      <t>日期：</t>
    </r>
  </si>
  <si>
    <r>
      <rPr>
        <sz val="12"/>
        <color theme="1"/>
        <rFont val="宋体"/>
        <family val="3"/>
        <charset val="134"/>
      </rPr>
      <t>供应商</t>
    </r>
  </si>
  <si>
    <t>供应商</t>
  </si>
  <si>
    <r>
      <rPr>
        <sz val="12"/>
        <rFont val="宋体"/>
        <family val="3"/>
        <charset val="134"/>
      </rPr>
      <t>唛头</t>
    </r>
  </si>
  <si>
    <r>
      <rPr>
        <sz val="12"/>
        <rFont val="宋体"/>
        <family val="3"/>
        <charset val="134"/>
      </rPr>
      <t>材料成份</t>
    </r>
  </si>
  <si>
    <t>西班牙文品名</t>
  </si>
  <si>
    <t>品名</t>
  </si>
  <si>
    <r>
      <rPr>
        <sz val="12"/>
        <rFont val="宋体"/>
        <family val="3"/>
        <charset val="134"/>
      </rPr>
      <t>英文品名</t>
    </r>
  </si>
  <si>
    <r>
      <rPr>
        <sz val="12"/>
        <rFont val="宋体"/>
        <family val="3"/>
        <charset val="134"/>
      </rPr>
      <t>款号</t>
    </r>
  </si>
  <si>
    <r>
      <rPr>
        <sz val="12"/>
        <rFont val="宋体"/>
        <family val="3"/>
        <charset val="134"/>
      </rPr>
      <t>箱号</t>
    </r>
  </si>
  <si>
    <r>
      <rPr>
        <sz val="12"/>
        <rFont val="宋体"/>
        <family val="3"/>
        <charset val="134"/>
      </rPr>
      <t>箱数</t>
    </r>
  </si>
  <si>
    <r>
      <rPr>
        <sz val="12"/>
        <rFont val="宋体"/>
        <family val="3"/>
        <charset val="134"/>
      </rPr>
      <t>件</t>
    </r>
    <r>
      <rPr>
        <sz val="12"/>
        <rFont val="Arial"/>
        <family val="2"/>
      </rPr>
      <t>/</t>
    </r>
    <r>
      <rPr>
        <sz val="12"/>
        <rFont val="宋体"/>
        <family val="3"/>
        <charset val="134"/>
      </rPr>
      <t>箱</t>
    </r>
  </si>
  <si>
    <r>
      <rPr>
        <sz val="12"/>
        <rFont val="宋体"/>
        <family val="3"/>
        <charset val="134"/>
      </rPr>
      <t>总件数</t>
    </r>
  </si>
  <si>
    <r>
      <rPr>
        <sz val="12"/>
        <rFont val="宋体"/>
        <family val="3"/>
        <charset val="134"/>
      </rPr>
      <t>毛重</t>
    </r>
  </si>
  <si>
    <r>
      <rPr>
        <sz val="12"/>
        <rFont val="宋体"/>
        <family val="3"/>
        <charset val="134"/>
      </rPr>
      <t>净重</t>
    </r>
  </si>
  <si>
    <r>
      <rPr>
        <sz val="12"/>
        <rFont val="宋体"/>
        <family val="3"/>
        <charset val="134"/>
      </rPr>
      <t>总毛重</t>
    </r>
  </si>
  <si>
    <r>
      <rPr>
        <sz val="12"/>
        <rFont val="宋体"/>
        <family val="3"/>
        <charset val="134"/>
      </rPr>
      <t>总净重</t>
    </r>
  </si>
  <si>
    <r>
      <rPr>
        <sz val="12"/>
        <rFont val="宋体"/>
        <family val="3"/>
        <charset val="134"/>
      </rPr>
      <t>箱规（</t>
    </r>
    <r>
      <rPr>
        <sz val="12"/>
        <rFont val="Arial"/>
        <family val="2"/>
      </rPr>
      <t>CM</t>
    </r>
    <r>
      <rPr>
        <sz val="12"/>
        <rFont val="宋体"/>
        <family val="3"/>
        <charset val="134"/>
      </rPr>
      <t>）</t>
    </r>
  </si>
  <si>
    <r>
      <rPr>
        <sz val="12"/>
        <rFont val="宋体"/>
        <family val="3"/>
        <charset val="134"/>
      </rPr>
      <t>每箱立方</t>
    </r>
    <r>
      <rPr>
        <sz val="12"/>
        <rFont val="Arial"/>
        <family val="2"/>
      </rPr>
      <t xml:space="preserve"> m³</t>
    </r>
  </si>
  <si>
    <r>
      <rPr>
        <sz val="12"/>
        <rFont val="宋体"/>
        <family val="3"/>
        <charset val="134"/>
      </rPr>
      <t>立方数</t>
    </r>
    <r>
      <rPr>
        <sz val="12"/>
        <rFont val="Arial"/>
        <family val="2"/>
      </rPr>
      <t>m³</t>
    </r>
  </si>
  <si>
    <t>单价</t>
  </si>
  <si>
    <t>总价</t>
  </si>
  <si>
    <t>Supplier</t>
  </si>
  <si>
    <t>Brand</t>
  </si>
  <si>
    <t>Composition</t>
  </si>
  <si>
    <t>Item</t>
  </si>
  <si>
    <t>Style No.</t>
  </si>
  <si>
    <t>Ctn No.</t>
  </si>
  <si>
    <t>Ctns</t>
  </si>
  <si>
    <t>pc/ctn</t>
  </si>
  <si>
    <t>total qty</t>
  </si>
  <si>
    <t>G.W</t>
  </si>
  <si>
    <t>N.W</t>
  </si>
  <si>
    <t>total G.W</t>
  </si>
  <si>
    <t>total N.W</t>
  </si>
  <si>
    <t>means(cm)</t>
  </si>
  <si>
    <t>cbm / ctn</t>
  </si>
  <si>
    <t>CBM</t>
  </si>
  <si>
    <t>Price</t>
  </si>
  <si>
    <t>Amount</t>
  </si>
  <si>
    <t>IDOL NAVY</t>
  </si>
  <si>
    <r>
      <t>65%ALGOD</t>
    </r>
    <r>
      <rPr>
        <sz val="12"/>
        <rFont val="FT Thymes"/>
        <family val="1"/>
      </rPr>
      <t>Ó</t>
    </r>
    <r>
      <rPr>
        <sz val="12"/>
        <rFont val="Arial"/>
        <family val="2"/>
      </rPr>
      <t>N 35%POLIESTER</t>
    </r>
  </si>
  <si>
    <t>Sudaderas con capuchas</t>
  </si>
  <si>
    <t>Hooded sweatshirt</t>
  </si>
  <si>
    <t>HF26/05USD</t>
  </si>
  <si>
    <t>HF26/10USD</t>
  </si>
  <si>
    <t>HF26/11USD</t>
  </si>
  <si>
    <t>HF26/12USD</t>
  </si>
  <si>
    <t>HF26/13USD</t>
  </si>
  <si>
    <t>Sudaderas con capucha</t>
  </si>
  <si>
    <t>HF26/06MSD</t>
  </si>
  <si>
    <t>HF26/07MSD</t>
  </si>
  <si>
    <t>1-12</t>
  </si>
  <si>
    <t>HF26/08MSD</t>
  </si>
  <si>
    <t>HF26/14MSD</t>
  </si>
  <si>
    <t>TOTAL:</t>
  </si>
  <si>
    <r>
      <rPr>
        <sz val="18"/>
        <rFont val="宋体"/>
        <family val="3"/>
        <charset val="134"/>
      </rPr>
      <t>海之风服饰</t>
    </r>
    <r>
      <rPr>
        <sz val="18"/>
        <rFont val="Arial"/>
        <family val="2"/>
      </rPr>
      <t xml:space="preserve"> Packing list</t>
    </r>
  </si>
  <si>
    <t>颜色</t>
  </si>
  <si>
    <t>规格</t>
  </si>
  <si>
    <t>件数</t>
  </si>
  <si>
    <t>箱数</t>
  </si>
  <si>
    <t>件/箱</t>
  </si>
  <si>
    <t>总件数</t>
  </si>
  <si>
    <t>STYLE No.</t>
  </si>
  <si>
    <t>BRAND</t>
  </si>
  <si>
    <t>CTN No.</t>
  </si>
  <si>
    <t>COLOUR</t>
  </si>
  <si>
    <t>SIZE</t>
  </si>
  <si>
    <t>PCS</t>
  </si>
  <si>
    <t>CTNS</t>
  </si>
  <si>
    <t>PC/CTN</t>
  </si>
  <si>
    <t>T.PCS</t>
  </si>
  <si>
    <t>T. G.W</t>
  </si>
  <si>
    <t>T. N.W</t>
  </si>
  <si>
    <t>MEANS(cm)</t>
  </si>
  <si>
    <t>cbm/ctn</t>
  </si>
  <si>
    <t>CH</t>
  </si>
  <si>
    <t>M</t>
  </si>
  <si>
    <t>G</t>
  </si>
  <si>
    <t>EG</t>
  </si>
  <si>
    <t>L</t>
  </si>
  <si>
    <t>W</t>
  </si>
  <si>
    <t>H</t>
  </si>
  <si>
    <t>/</t>
  </si>
  <si>
    <t>货物图片</t>
  </si>
  <si>
    <t>吊牌正面</t>
  </si>
  <si>
    <t>吊牌背面</t>
  </si>
  <si>
    <t>吊粒</t>
  </si>
  <si>
    <t>主唛</t>
  </si>
  <si>
    <t>洗水唛</t>
  </si>
  <si>
    <t>纸箱正唛</t>
  </si>
  <si>
    <t>纸箱侧唛</t>
  </si>
  <si>
    <t>船头版</t>
  </si>
  <si>
    <t>BLACK</t>
  </si>
  <si>
    <t>MELLANGE</t>
  </si>
  <si>
    <t>BEIGE</t>
  </si>
  <si>
    <r>
      <rPr>
        <sz val="18"/>
        <rFont val="宋体"/>
        <family val="3"/>
        <charset val="134"/>
      </rPr>
      <t>海之风服饰</t>
    </r>
    <r>
      <rPr>
        <sz val="18"/>
        <rFont val="Arial"/>
        <family val="2"/>
      </rPr>
      <t>Packing list</t>
    </r>
  </si>
  <si>
    <t>LT MELLANGE</t>
  </si>
  <si>
    <t>RED</t>
  </si>
  <si>
    <t>NAVY</t>
  </si>
  <si>
    <r>
      <rPr>
        <sz val="18"/>
        <rFont val="Arial"/>
        <family val="2"/>
      </rPr>
      <t xml:space="preserve"> </t>
    </r>
    <r>
      <rPr>
        <sz val="18"/>
        <rFont val="宋体"/>
        <family val="3"/>
        <charset val="134"/>
      </rPr>
      <t>海之风服饰</t>
    </r>
    <r>
      <rPr>
        <sz val="18"/>
        <rFont val="Arial"/>
        <family val="2"/>
      </rPr>
      <t>Packing list</t>
    </r>
  </si>
  <si>
    <t>LT BEIGE</t>
  </si>
  <si>
    <t>GREEN</t>
  </si>
  <si>
    <t>LT MELLANGE /SLEEVE BLACK</t>
  </si>
  <si>
    <t>DK MELANGE /SLEEVE BLACK</t>
  </si>
  <si>
    <t>RED /SLEEVE NAVY</t>
  </si>
  <si>
    <t xml:space="preserve"> Packing list</t>
  </si>
  <si>
    <t>MELANGE /LETTERS NAVY</t>
  </si>
  <si>
    <t>LT BEIGE / LETTERS NAVY</t>
  </si>
  <si>
    <t>RED / LETTERS NAVY</t>
  </si>
  <si>
    <r>
      <rPr>
        <sz val="12"/>
        <rFont val="宋体"/>
        <family val="3"/>
        <charset val="134"/>
      </rPr>
      <t>海之风服饰</t>
    </r>
    <r>
      <rPr>
        <sz val="12"/>
        <rFont val="Arial"/>
        <family val="2"/>
      </rPr>
      <t xml:space="preserve"> Packing list</t>
    </r>
  </si>
  <si>
    <t>PURPLE</t>
  </si>
  <si>
    <t>针织套头卫衣</t>
    <phoneticPr fontId="12" type="noConversion"/>
  </si>
  <si>
    <t>针织连帽卫衣</t>
    <phoneticPr fontId="12" type="noConversion"/>
  </si>
  <si>
    <t>13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</si>
</sst>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_);[Red]\(0.00\)"/>
    <numFmt numFmtId="165" formatCode="yyyy&quot;年&quot;m&quot;月&quot;d&quot;日&quot;;@"/>
    <numFmt numFmtId="166" formatCode="\¥#,##0.00_);\(\¥#,##0.00\)"/>
    <numFmt numFmtId="167" formatCode="0.00_ "/>
    <numFmt numFmtId="168" formatCode="&quot;￥&quot;#,##0.00_);[Red]\(&quot;￥&quot;#,##0.00\)"/>
  </numFmts>
  <fonts count="14">
    <font>
      <sz val="11"/>
      <color theme="1"/>
      <name val="Calibri"/>
      <charset val="134"/>
      <scheme val="minor"/>
    </font>
    <font>
      <sz val="12"/>
      <name val="Arial"/>
      <family val="2"/>
    </font>
    <font>
      <sz val="12"/>
      <name val="宋体"/>
      <family val="3"/>
      <charset val="134"/>
    </font>
    <font>
      <sz val="11"/>
      <name val="Arial"/>
      <family val="2"/>
    </font>
    <font>
      <sz val="12"/>
      <color theme="1"/>
      <name val="Arial"/>
      <family val="2"/>
    </font>
    <font>
      <sz val="11"/>
      <color rgb="FFFF0000"/>
      <name val="Calibri"/>
      <family val="3"/>
      <charset val="134"/>
      <scheme val="minor"/>
    </font>
    <font>
      <b/>
      <sz val="9"/>
      <color theme="1"/>
      <name val="Arial"/>
      <family val="2"/>
    </font>
    <font>
      <sz val="18"/>
      <name val="宋体"/>
      <family val="3"/>
      <charset val="134"/>
    </font>
    <font>
      <sz val="18"/>
      <name val="Arial"/>
      <family val="2"/>
    </font>
    <font>
      <sz val="11"/>
      <color theme="1"/>
      <name val="Arial"/>
      <family val="2"/>
    </font>
    <font>
      <sz val="12"/>
      <color theme="1"/>
      <name val="宋体"/>
      <family val="3"/>
      <charset val="134"/>
    </font>
    <font>
      <sz val="12"/>
      <name val="FT Thymes"/>
      <family val="1"/>
    </font>
    <font>
      <sz val="9"/>
      <name val="Calibri"/>
      <family val="3"/>
      <charset val="134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120">
    <xf numFmtId="0" fontId="0" fillId="0" borderId="0" xfId="0"/>
    <xf numFmtId="0" fontId="1" fillId="0" borderId="1" xfId="1" applyFont="1" applyBorder="1" applyAlignment="1">
      <alignment horizontal="center" vertical="center"/>
    </xf>
    <xf numFmtId="49" fontId="1" fillId="0" borderId="1" xfId="1" applyNumberFormat="1" applyFont="1" applyBorder="1" applyAlignment="1">
      <alignment horizontal="center" vertical="center"/>
    </xf>
    <xf numFmtId="49" fontId="2" fillId="0" borderId="1" xfId="1" applyNumberFormat="1" applyBorder="1" applyAlignment="1">
      <alignment horizontal="center" vertical="center"/>
    </xf>
    <xf numFmtId="0" fontId="2" fillId="0" borderId="1" xfId="1" applyBorder="1" applyAlignment="1">
      <alignment horizontal="center" vertical="center" wrapText="1"/>
    </xf>
    <xf numFmtId="0" fontId="2" fillId="0" borderId="4" xfId="1" applyBorder="1" applyAlignment="1">
      <alignment horizontal="center" vertical="center" wrapText="1"/>
    </xf>
    <xf numFmtId="0" fontId="2" fillId="0" borderId="1" xfId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164" fontId="2" fillId="0" borderId="1" xfId="1" applyNumberFormat="1" applyBorder="1" applyAlignment="1">
      <alignment horizontal="center" vertical="center"/>
    </xf>
    <xf numFmtId="0" fontId="1" fillId="0" borderId="6" xfId="1" applyFont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0" fillId="2" borderId="0" xfId="0" applyFill="1"/>
    <xf numFmtId="0" fontId="4" fillId="0" borderId="1" xfId="0" applyFont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5" fillId="2" borderId="0" xfId="0" applyFont="1" applyFill="1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6" fillId="2" borderId="4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1" fillId="0" borderId="0" xfId="1" applyFont="1" applyAlignment="1">
      <alignment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/>
    </xf>
    <xf numFmtId="0" fontId="1" fillId="0" borderId="1" xfId="1" applyFont="1" applyBorder="1">
      <alignment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165" fontId="1" fillId="0" borderId="1" xfId="1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" fillId="0" borderId="1" xfId="1" applyFont="1" applyBorder="1" applyAlignment="1">
      <alignment horizontal="center" vertical="center" wrapText="1"/>
    </xf>
    <xf numFmtId="0" fontId="1" fillId="0" borderId="4" xfId="1" applyFont="1" applyBorder="1" applyAlignment="1">
      <alignment horizontal="center" vertical="center" wrapText="1"/>
    </xf>
    <xf numFmtId="166" fontId="2" fillId="0" borderId="1" xfId="1" applyNumberFormat="1" applyBorder="1" applyAlignment="1">
      <alignment horizontal="center" vertical="center"/>
    </xf>
    <xf numFmtId="166" fontId="1" fillId="0" borderId="1" xfId="1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8" fontId="4" fillId="0" borderId="1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167" fontId="4" fillId="0" borderId="1" xfId="0" applyNumberFormat="1" applyFont="1" applyBorder="1" applyAlignment="1">
      <alignment horizontal="center" vertical="center"/>
    </xf>
    <xf numFmtId="168" fontId="4" fillId="0" borderId="1" xfId="0" applyNumberFormat="1" applyFont="1" applyBorder="1" applyAlignment="1">
      <alignment vertical="center"/>
    </xf>
    <xf numFmtId="0" fontId="0" fillId="0" borderId="0" xfId="0" applyAlignment="1">
      <alignment horizontal="center"/>
    </xf>
    <xf numFmtId="0" fontId="13" fillId="2" borderId="1" xfId="0" applyFont="1" applyFill="1" applyBorder="1" applyAlignment="1">
      <alignment horizontal="left" vertical="center" wrapText="1"/>
    </xf>
    <xf numFmtId="0" fontId="13" fillId="2" borderId="4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 wrapText="1"/>
    </xf>
    <xf numFmtId="167" fontId="4" fillId="2" borderId="1" xfId="0" applyNumberFormat="1" applyFont="1" applyFill="1" applyBorder="1" applyAlignment="1">
      <alignment horizontal="center" vertical="center"/>
    </xf>
    <xf numFmtId="167" fontId="0" fillId="0" borderId="0" xfId="0" applyNumberFormat="1" applyAlignment="1">
      <alignment horizontal="center"/>
    </xf>
    <xf numFmtId="167" fontId="4" fillId="2" borderId="1" xfId="0" applyNumberFormat="1" applyFont="1" applyFill="1" applyBorder="1" applyAlignment="1">
      <alignment horizontal="center" vertical="center"/>
    </xf>
    <xf numFmtId="165" fontId="1" fillId="0" borderId="5" xfId="1" applyNumberFormat="1" applyFont="1" applyBorder="1" applyAlignment="1">
      <alignment horizontal="center" vertical="center"/>
    </xf>
    <xf numFmtId="165" fontId="1" fillId="0" borderId="6" xfId="1" applyNumberFormat="1" applyFont="1" applyBorder="1" applyAlignment="1">
      <alignment horizontal="center" vertical="center"/>
    </xf>
    <xf numFmtId="167" fontId="4" fillId="2" borderId="5" xfId="0" applyNumberFormat="1" applyFont="1" applyFill="1" applyBorder="1" applyAlignment="1">
      <alignment horizontal="center" vertical="center"/>
    </xf>
    <xf numFmtId="167" fontId="4" fillId="2" borderId="7" xfId="0" applyNumberFormat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1" fillId="0" borderId="5" xfId="1" applyFont="1" applyBorder="1" applyAlignment="1">
      <alignment horizontal="center" vertical="center"/>
    </xf>
    <xf numFmtId="0" fontId="1" fillId="0" borderId="6" xfId="1" applyFon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1" fillId="0" borderId="5" xfId="1" applyFont="1" applyBorder="1" applyAlignment="1">
      <alignment horizontal="center" vertical="center" wrapText="1"/>
    </xf>
    <xf numFmtId="0" fontId="1" fillId="0" borderId="6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0" fontId="1" fillId="0" borderId="7" xfId="1" applyFont="1" applyBorder="1" applyAlignment="1">
      <alignment horizontal="center" vertical="center" wrapText="1"/>
    </xf>
    <xf numFmtId="49" fontId="1" fillId="0" borderId="5" xfId="1" applyNumberFormat="1" applyFont="1" applyBorder="1" applyAlignment="1">
      <alignment horizontal="center" vertical="center"/>
    </xf>
    <xf numFmtId="49" fontId="1" fillId="0" borderId="6" xfId="1" applyNumberFormat="1" applyFont="1" applyBorder="1" applyAlignment="1">
      <alignment horizontal="center" vertical="center"/>
    </xf>
    <xf numFmtId="49" fontId="4" fillId="2" borderId="5" xfId="0" applyNumberFormat="1" applyFont="1" applyFill="1" applyBorder="1" applyAlignment="1">
      <alignment horizontal="center" vertical="center"/>
    </xf>
    <xf numFmtId="49" fontId="4" fillId="2" borderId="7" xfId="0" applyNumberFormat="1" applyFont="1" applyFill="1" applyBorder="1" applyAlignment="1">
      <alignment horizontal="center" vertical="center"/>
    </xf>
    <xf numFmtId="49" fontId="4" fillId="2" borderId="6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1" fillId="0" borderId="5" xfId="1" applyNumberFormat="1" applyFont="1" applyBorder="1" applyAlignment="1">
      <alignment horizontal="center" vertical="center" wrapText="1"/>
    </xf>
    <xf numFmtId="49" fontId="1" fillId="0" borderId="6" xfId="1" applyNumberFormat="1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1" applyFont="1" applyAlignment="1">
      <alignment horizontal="center" vertical="center"/>
    </xf>
    <xf numFmtId="49" fontId="2" fillId="0" borderId="2" xfId="1" applyNumberFormat="1" applyBorder="1" applyAlignment="1">
      <alignment horizontal="center" vertical="center"/>
    </xf>
    <xf numFmtId="49" fontId="2" fillId="0" borderId="3" xfId="1" applyNumberFormat="1" applyBorder="1" applyAlignment="1">
      <alignment horizontal="center" vertical="center"/>
    </xf>
    <xf numFmtId="49" fontId="2" fillId="0" borderId="4" xfId="1" applyNumberFormat="1" applyBorder="1" applyAlignment="1">
      <alignment horizontal="center" vertical="center"/>
    </xf>
    <xf numFmtId="0" fontId="1" fillId="0" borderId="2" xfId="1" applyFont="1" applyBorder="1" applyAlignment="1">
      <alignment horizontal="center" vertical="center"/>
    </xf>
    <xf numFmtId="0" fontId="1" fillId="0" borderId="3" xfId="1" applyFont="1" applyBorder="1" applyAlignment="1">
      <alignment horizontal="center" vertical="center"/>
    </xf>
    <xf numFmtId="0" fontId="1" fillId="0" borderId="4" xfId="1" applyFont="1" applyBorder="1" applyAlignment="1">
      <alignment horizontal="center" vertical="center"/>
    </xf>
    <xf numFmtId="49" fontId="1" fillId="0" borderId="2" xfId="1" applyNumberFormat="1" applyFont="1" applyBorder="1" applyAlignment="1">
      <alignment horizontal="center" vertical="center"/>
    </xf>
    <xf numFmtId="49" fontId="1" fillId="0" borderId="3" xfId="1" applyNumberFormat="1" applyFont="1" applyBorder="1" applyAlignment="1">
      <alignment horizontal="center" vertical="center"/>
    </xf>
    <xf numFmtId="49" fontId="1" fillId="0" borderId="4" xfId="1" applyNumberFormat="1" applyFont="1" applyBorder="1" applyAlignment="1">
      <alignment horizontal="center" vertical="center"/>
    </xf>
    <xf numFmtId="0" fontId="1" fillId="0" borderId="1" xfId="1" applyFont="1" applyBorder="1" applyAlignment="1">
      <alignment horizontal="center" vertical="center"/>
    </xf>
    <xf numFmtId="0" fontId="1" fillId="0" borderId="1" xfId="1" applyFont="1" applyBorder="1">
      <alignment vertical="center"/>
    </xf>
    <xf numFmtId="2" fontId="1" fillId="0" borderId="1" xfId="0" applyNumberFormat="1" applyFont="1" applyBorder="1" applyAlignment="1">
      <alignment horizontal="center" vertical="center"/>
    </xf>
    <xf numFmtId="168" fontId="4" fillId="0" borderId="5" xfId="0" applyNumberFormat="1" applyFont="1" applyBorder="1" applyAlignment="1">
      <alignment horizontal="center" vertical="center"/>
    </xf>
    <xf numFmtId="168" fontId="4" fillId="0" borderId="6" xfId="0" applyNumberFormat="1" applyFont="1" applyBorder="1" applyAlignment="1">
      <alignment horizontal="center" vertical="center"/>
    </xf>
    <xf numFmtId="168" fontId="4" fillId="0" borderId="1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68" fontId="4" fillId="0" borderId="7" xfId="0" applyNumberFormat="1" applyFont="1" applyBorder="1" applyAlignment="1">
      <alignment horizontal="center" vertical="center"/>
    </xf>
    <xf numFmtId="167" fontId="4" fillId="0" borderId="5" xfId="0" applyNumberFormat="1" applyFont="1" applyBorder="1" applyAlignment="1">
      <alignment horizontal="center" vertical="center"/>
    </xf>
    <xf numFmtId="167" fontId="4" fillId="0" borderId="6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0" borderId="1" xfId="1" applyFont="1" applyBorder="1" applyAlignment="1">
      <alignment horizontal="center" vertical="center" wrapText="1"/>
    </xf>
    <xf numFmtId="0" fontId="7" fillId="0" borderId="0" xfId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1" fillId="0" borderId="1" xfId="1" applyFont="1" applyBorder="1" applyAlignment="1">
      <alignment horizontal="right" vertical="center"/>
    </xf>
    <xf numFmtId="165" fontId="1" fillId="0" borderId="1" xfId="1" applyNumberFormat="1" applyFont="1" applyBorder="1" applyAlignment="1">
      <alignment horizontal="center" vertical="center"/>
    </xf>
    <xf numFmtId="167" fontId="4" fillId="2" borderId="6" xfId="0" applyNumberFormat="1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1" fillId="0" borderId="4" xfId="1" applyFont="1" applyBorder="1">
      <alignment vertic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7" xfId="1" applyFont="1" applyBorder="1" applyAlignment="1">
      <alignment horizontal="center" vertical="center"/>
    </xf>
  </cellXfs>
  <cellStyles count="2">
    <cellStyle name="Normal" xfId="0" builtinId="0"/>
    <cellStyle name="常规_packing " xfId="1" xr:uid="{00000000-0005-0000-0000-000031000000}"/>
  </cellStyles>
  <dxfs count="0"/>
  <tableStyles count="0" defaultTableStyle="TableStyleMedium2" defaultPivotStyle="PivotStyleLight16"/>
  <colors>
    <mruColors>
      <color rgb="FFFDA4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19050</xdr:colOff>
      <xdr:row>0</xdr:row>
      <xdr:rowOff>0</xdr:rowOff>
    </xdr:from>
    <xdr:to>
      <xdr:col>16</xdr:col>
      <xdr:colOff>219075</xdr:colOff>
      <xdr:row>0</xdr:row>
      <xdr:rowOff>10160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42750" y="0"/>
          <a:ext cx="2075815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19050</xdr:colOff>
      <xdr:row>0</xdr:row>
      <xdr:rowOff>0</xdr:rowOff>
    </xdr:from>
    <xdr:to>
      <xdr:col>16</xdr:col>
      <xdr:colOff>219075</xdr:colOff>
      <xdr:row>0</xdr:row>
      <xdr:rowOff>10160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42750" y="0"/>
          <a:ext cx="2075815" cy="101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19050</xdr:colOff>
      <xdr:row>0</xdr:row>
      <xdr:rowOff>0</xdr:rowOff>
    </xdr:from>
    <xdr:to>
      <xdr:col>18</xdr:col>
      <xdr:colOff>219075</xdr:colOff>
      <xdr:row>0</xdr:row>
      <xdr:rowOff>10160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42350" y="0"/>
          <a:ext cx="2778125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19050</xdr:colOff>
      <xdr:row>0</xdr:row>
      <xdr:rowOff>0</xdr:rowOff>
    </xdr:from>
    <xdr:to>
      <xdr:col>18</xdr:col>
      <xdr:colOff>219075</xdr:colOff>
      <xdr:row>0</xdr:row>
      <xdr:rowOff>10160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42350" y="0"/>
          <a:ext cx="2778125" cy="101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19050</xdr:colOff>
      <xdr:row>0</xdr:row>
      <xdr:rowOff>0</xdr:rowOff>
    </xdr:from>
    <xdr:to>
      <xdr:col>18</xdr:col>
      <xdr:colOff>219075</xdr:colOff>
      <xdr:row>0</xdr:row>
      <xdr:rowOff>10160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46770" y="0"/>
          <a:ext cx="2778125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19050</xdr:colOff>
      <xdr:row>0</xdr:row>
      <xdr:rowOff>0</xdr:rowOff>
    </xdr:from>
    <xdr:to>
      <xdr:col>18</xdr:col>
      <xdr:colOff>219075</xdr:colOff>
      <xdr:row>0</xdr:row>
      <xdr:rowOff>10160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46770" y="0"/>
          <a:ext cx="2778125" cy="101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19050</xdr:colOff>
      <xdr:row>0</xdr:row>
      <xdr:rowOff>0</xdr:rowOff>
    </xdr:from>
    <xdr:to>
      <xdr:col>18</xdr:col>
      <xdr:colOff>219075</xdr:colOff>
      <xdr:row>0</xdr:row>
      <xdr:rowOff>10160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66810" y="0"/>
          <a:ext cx="2778125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19050</xdr:colOff>
      <xdr:row>0</xdr:row>
      <xdr:rowOff>0</xdr:rowOff>
    </xdr:from>
    <xdr:to>
      <xdr:col>18</xdr:col>
      <xdr:colOff>219075</xdr:colOff>
      <xdr:row>0</xdr:row>
      <xdr:rowOff>10160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66810" y="0"/>
          <a:ext cx="2778125" cy="101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19050</xdr:colOff>
      <xdr:row>0</xdr:row>
      <xdr:rowOff>0</xdr:rowOff>
    </xdr:from>
    <xdr:to>
      <xdr:col>18</xdr:col>
      <xdr:colOff>219075</xdr:colOff>
      <xdr:row>0</xdr:row>
      <xdr:rowOff>10160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73490" y="0"/>
          <a:ext cx="2778125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19050</xdr:colOff>
      <xdr:row>0</xdr:row>
      <xdr:rowOff>0</xdr:rowOff>
    </xdr:from>
    <xdr:to>
      <xdr:col>18</xdr:col>
      <xdr:colOff>219075</xdr:colOff>
      <xdr:row>0</xdr:row>
      <xdr:rowOff>10160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73490" y="0"/>
          <a:ext cx="2778125" cy="101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19050</xdr:colOff>
      <xdr:row>0</xdr:row>
      <xdr:rowOff>0</xdr:rowOff>
    </xdr:from>
    <xdr:to>
      <xdr:col>18</xdr:col>
      <xdr:colOff>219075</xdr:colOff>
      <xdr:row>0</xdr:row>
      <xdr:rowOff>10160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1230" y="0"/>
          <a:ext cx="2778125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19050</xdr:colOff>
      <xdr:row>0</xdr:row>
      <xdr:rowOff>0</xdr:rowOff>
    </xdr:from>
    <xdr:to>
      <xdr:col>18</xdr:col>
      <xdr:colOff>219075</xdr:colOff>
      <xdr:row>0</xdr:row>
      <xdr:rowOff>10160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1230" y="0"/>
          <a:ext cx="2778125" cy="101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19050</xdr:colOff>
      <xdr:row>0</xdr:row>
      <xdr:rowOff>0</xdr:rowOff>
    </xdr:from>
    <xdr:to>
      <xdr:col>18</xdr:col>
      <xdr:colOff>219075</xdr:colOff>
      <xdr:row>0</xdr:row>
      <xdr:rowOff>10160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09250" y="0"/>
          <a:ext cx="2778125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19050</xdr:colOff>
      <xdr:row>0</xdr:row>
      <xdr:rowOff>0</xdr:rowOff>
    </xdr:from>
    <xdr:to>
      <xdr:col>18</xdr:col>
      <xdr:colOff>219075</xdr:colOff>
      <xdr:row>0</xdr:row>
      <xdr:rowOff>10160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09250" y="0"/>
          <a:ext cx="2778125" cy="101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19050</xdr:colOff>
      <xdr:row>0</xdr:row>
      <xdr:rowOff>0</xdr:rowOff>
    </xdr:from>
    <xdr:to>
      <xdr:col>18</xdr:col>
      <xdr:colOff>219075</xdr:colOff>
      <xdr:row>0</xdr:row>
      <xdr:rowOff>10160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71280" y="0"/>
          <a:ext cx="2778125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19050</xdr:colOff>
      <xdr:row>0</xdr:row>
      <xdr:rowOff>0</xdr:rowOff>
    </xdr:from>
    <xdr:to>
      <xdr:col>18</xdr:col>
      <xdr:colOff>219075</xdr:colOff>
      <xdr:row>0</xdr:row>
      <xdr:rowOff>10160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71280" y="0"/>
          <a:ext cx="2778125" cy="101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19050</xdr:colOff>
      <xdr:row>0</xdr:row>
      <xdr:rowOff>0</xdr:rowOff>
    </xdr:from>
    <xdr:to>
      <xdr:col>18</xdr:col>
      <xdr:colOff>219075</xdr:colOff>
      <xdr:row>0</xdr:row>
      <xdr:rowOff>10160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80220" y="0"/>
          <a:ext cx="3400425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19050</xdr:colOff>
      <xdr:row>0</xdr:row>
      <xdr:rowOff>0</xdr:rowOff>
    </xdr:from>
    <xdr:to>
      <xdr:col>18</xdr:col>
      <xdr:colOff>219075</xdr:colOff>
      <xdr:row>0</xdr:row>
      <xdr:rowOff>10160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80220" y="0"/>
          <a:ext cx="3400425" cy="101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19050</xdr:colOff>
      <xdr:row>0</xdr:row>
      <xdr:rowOff>0</xdr:rowOff>
    </xdr:from>
    <xdr:to>
      <xdr:col>18</xdr:col>
      <xdr:colOff>219075</xdr:colOff>
      <xdr:row>0</xdr:row>
      <xdr:rowOff>10160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93530" y="0"/>
          <a:ext cx="2778125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19050</xdr:colOff>
      <xdr:row>0</xdr:row>
      <xdr:rowOff>0</xdr:rowOff>
    </xdr:from>
    <xdr:to>
      <xdr:col>18</xdr:col>
      <xdr:colOff>219075</xdr:colOff>
      <xdr:row>0</xdr:row>
      <xdr:rowOff>10160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93530" y="0"/>
          <a:ext cx="2778125" cy="101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5"/>
  <sheetViews>
    <sheetView tabSelected="1" topLeftCell="D1" zoomScale="85" zoomScaleNormal="85" workbookViewId="0">
      <selection activeCell="F2" sqref="F1:G1048576"/>
    </sheetView>
  </sheetViews>
  <sheetFormatPr baseColWidth="10" defaultColWidth="9" defaultRowHeight="14.6"/>
  <cols>
    <col min="1" max="2" width="11.61328125" hidden="1" customWidth="1"/>
    <col min="3" max="3" width="21" customWidth="1"/>
    <col min="4" max="4" width="19.15234375" customWidth="1"/>
    <col min="5" max="5" width="18" hidden="1" customWidth="1"/>
    <col min="6" max="6" width="14.69140625" hidden="1" customWidth="1"/>
    <col min="7" max="7" width="20.69140625" hidden="1" customWidth="1"/>
    <col min="8" max="8" width="13.23046875" customWidth="1"/>
    <col min="9" max="9" width="8.61328125" customWidth="1"/>
    <col min="10" max="10" width="7.3828125" customWidth="1"/>
    <col min="11" max="11" width="7.69140625" customWidth="1"/>
    <col min="12" max="12" width="8.84375"/>
    <col min="13" max="13" width="8" customWidth="1"/>
    <col min="14" max="14" width="8.15234375" customWidth="1"/>
    <col min="15" max="15" width="8.61328125" customWidth="1"/>
    <col min="16" max="16" width="9.61328125" customWidth="1"/>
    <col min="17" max="17" width="7.15234375" customWidth="1"/>
    <col min="18" max="18" width="6.69140625" customWidth="1"/>
    <col min="19" max="19" width="7" customWidth="1"/>
    <col min="20" max="20" width="10.84375" customWidth="1"/>
    <col min="21" max="22" width="10.3828125"/>
    <col min="23" max="23" width="15.765625" customWidth="1"/>
  </cols>
  <sheetData>
    <row r="1" spans="1:23" ht="22.75">
      <c r="D1" s="104" t="s">
        <v>0</v>
      </c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</row>
    <row r="2" spans="1:23" ht="15">
      <c r="A2" s="25"/>
      <c r="B2" s="25"/>
      <c r="C2" s="25"/>
      <c r="D2" s="24"/>
      <c r="E2" s="24"/>
      <c r="F2" s="24"/>
      <c r="G2" s="24"/>
      <c r="H2" s="24"/>
      <c r="I2" s="24"/>
      <c r="J2" s="24"/>
      <c r="K2" s="26"/>
      <c r="L2" s="24"/>
      <c r="M2" s="24"/>
      <c r="N2" s="24"/>
      <c r="O2" s="24"/>
      <c r="P2" s="24"/>
      <c r="Q2" s="106" t="s">
        <v>1</v>
      </c>
      <c r="R2" s="106"/>
      <c r="S2" s="107">
        <v>46233</v>
      </c>
      <c r="T2" s="107"/>
      <c r="U2" s="107"/>
      <c r="V2" s="107"/>
      <c r="W2" s="107"/>
    </row>
    <row r="3" spans="1:23" ht="20.05" customHeight="1">
      <c r="A3" s="20" t="s">
        <v>2</v>
      </c>
      <c r="B3" s="28" t="s">
        <v>3</v>
      </c>
      <c r="C3" s="1" t="s">
        <v>4</v>
      </c>
      <c r="D3" s="1" t="s">
        <v>5</v>
      </c>
      <c r="E3" s="1" t="s">
        <v>6</v>
      </c>
      <c r="F3" s="6" t="s">
        <v>7</v>
      </c>
      <c r="G3" s="1" t="s">
        <v>8</v>
      </c>
      <c r="H3" s="1" t="s">
        <v>9</v>
      </c>
      <c r="I3" s="2" t="s">
        <v>10</v>
      </c>
      <c r="J3" s="29" t="s">
        <v>11</v>
      </c>
      <c r="K3" s="30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85" t="s">
        <v>18</v>
      </c>
      <c r="R3" s="85"/>
      <c r="S3" s="85"/>
      <c r="T3" s="6" t="s">
        <v>19</v>
      </c>
      <c r="U3" s="8" t="s">
        <v>20</v>
      </c>
      <c r="V3" s="31" t="s">
        <v>21</v>
      </c>
      <c r="W3" s="28" t="s">
        <v>22</v>
      </c>
    </row>
    <row r="4" spans="1:23" ht="20.05" customHeight="1">
      <c r="A4" s="20" t="s">
        <v>23</v>
      </c>
      <c r="B4" s="20" t="s">
        <v>23</v>
      </c>
      <c r="C4" s="1" t="s">
        <v>24</v>
      </c>
      <c r="D4" s="29" t="s">
        <v>25</v>
      </c>
      <c r="E4" s="26" t="s">
        <v>26</v>
      </c>
      <c r="F4" s="26" t="s">
        <v>26</v>
      </c>
      <c r="G4" s="26" t="s">
        <v>26</v>
      </c>
      <c r="H4" s="1" t="s">
        <v>27</v>
      </c>
      <c r="I4" s="2" t="s">
        <v>28</v>
      </c>
      <c r="J4" s="29" t="s">
        <v>29</v>
      </c>
      <c r="K4" s="30" t="s">
        <v>30</v>
      </c>
      <c r="L4" s="1" t="s">
        <v>31</v>
      </c>
      <c r="M4" s="1" t="s">
        <v>32</v>
      </c>
      <c r="N4" s="1" t="s">
        <v>33</v>
      </c>
      <c r="O4" s="1" t="s">
        <v>34</v>
      </c>
      <c r="P4" s="1" t="s">
        <v>35</v>
      </c>
      <c r="Q4" s="85" t="s">
        <v>36</v>
      </c>
      <c r="R4" s="85"/>
      <c r="S4" s="85"/>
      <c r="T4" s="1" t="s">
        <v>37</v>
      </c>
      <c r="U4" s="27" t="s">
        <v>38</v>
      </c>
      <c r="V4" s="32" t="s">
        <v>39</v>
      </c>
      <c r="W4" s="20" t="s">
        <v>40</v>
      </c>
    </row>
    <row r="5" spans="1:23" ht="20.05" customHeight="1">
      <c r="A5" s="101"/>
      <c r="B5" s="101"/>
      <c r="C5" s="61" t="s">
        <v>41</v>
      </c>
      <c r="D5" s="103" t="s">
        <v>42</v>
      </c>
      <c r="E5" s="57" t="s">
        <v>43</v>
      </c>
      <c r="F5" s="97" t="s">
        <v>113</v>
      </c>
      <c r="G5" s="91" t="s">
        <v>44</v>
      </c>
      <c r="H5" s="96" t="s">
        <v>45</v>
      </c>
      <c r="I5" s="33"/>
      <c r="J5" s="20">
        <v>5</v>
      </c>
      <c r="K5" s="34">
        <v>24</v>
      </c>
      <c r="L5" s="91">
        <f t="shared" ref="L5" si="0">J5*K5+K6</f>
        <v>144</v>
      </c>
      <c r="M5" s="20">
        <v>15.6</v>
      </c>
      <c r="N5" s="20">
        <v>14.6</v>
      </c>
      <c r="O5" s="20">
        <f t="shared" ref="O5:O21" si="1">J5*M5</f>
        <v>78</v>
      </c>
      <c r="P5" s="20">
        <f t="shared" ref="P5:P21" si="2">J5*N5</f>
        <v>73</v>
      </c>
      <c r="Q5" s="20">
        <v>54</v>
      </c>
      <c r="R5" s="20">
        <v>34</v>
      </c>
      <c r="S5" s="20">
        <v>40</v>
      </c>
      <c r="T5" s="37">
        <f t="shared" ref="T5:T21" si="3">Q5*R5*S5*J5/1000000</f>
        <v>0.36720000000000003</v>
      </c>
      <c r="U5" s="94">
        <f>T5+T6</f>
        <v>0.44064000000000003</v>
      </c>
      <c r="V5" s="88">
        <v>43</v>
      </c>
      <c r="W5" s="88">
        <f>L5*V5</f>
        <v>6192</v>
      </c>
    </row>
    <row r="6" spans="1:23" ht="20.05" customHeight="1">
      <c r="A6" s="101"/>
      <c r="B6" s="101"/>
      <c r="C6" s="61"/>
      <c r="D6" s="103"/>
      <c r="E6" s="58"/>
      <c r="F6" s="98"/>
      <c r="G6" s="92"/>
      <c r="H6" s="96"/>
      <c r="I6" s="20"/>
      <c r="J6" s="20">
        <v>1</v>
      </c>
      <c r="K6" s="34">
        <v>24</v>
      </c>
      <c r="L6" s="92"/>
      <c r="M6" s="20">
        <v>15.6</v>
      </c>
      <c r="N6" s="20">
        <v>14.6</v>
      </c>
      <c r="O6" s="20">
        <f t="shared" si="1"/>
        <v>15.6</v>
      </c>
      <c r="P6" s="20">
        <f t="shared" si="2"/>
        <v>14.6</v>
      </c>
      <c r="Q6" s="20">
        <v>54</v>
      </c>
      <c r="R6" s="20">
        <v>34</v>
      </c>
      <c r="S6" s="20">
        <v>40</v>
      </c>
      <c r="T6" s="37">
        <f t="shared" si="3"/>
        <v>7.3440000000000005E-2</v>
      </c>
      <c r="U6" s="95"/>
      <c r="V6" s="89"/>
      <c r="W6" s="89"/>
    </row>
    <row r="7" spans="1:23" ht="20.05" customHeight="1">
      <c r="A7" s="101"/>
      <c r="B7" s="101"/>
      <c r="C7" s="61"/>
      <c r="D7" s="103" t="s">
        <v>42</v>
      </c>
      <c r="E7" s="57" t="s">
        <v>43</v>
      </c>
      <c r="F7" s="97" t="s">
        <v>113</v>
      </c>
      <c r="G7" s="91" t="s">
        <v>44</v>
      </c>
      <c r="H7" s="96" t="s">
        <v>46</v>
      </c>
      <c r="I7" s="33"/>
      <c r="J7" s="20">
        <v>10</v>
      </c>
      <c r="K7" s="34">
        <v>24</v>
      </c>
      <c r="L7" s="91">
        <f>J7*K7+K8</f>
        <v>240</v>
      </c>
      <c r="M7" s="20">
        <v>15.4</v>
      </c>
      <c r="N7" s="20">
        <v>14.4</v>
      </c>
      <c r="O7" s="20">
        <f t="shared" si="1"/>
        <v>154</v>
      </c>
      <c r="P7" s="20">
        <f t="shared" si="2"/>
        <v>144</v>
      </c>
      <c r="Q7" s="20">
        <v>54</v>
      </c>
      <c r="R7" s="20">
        <v>34</v>
      </c>
      <c r="S7" s="20">
        <v>40</v>
      </c>
      <c r="T7" s="37">
        <f t="shared" si="3"/>
        <v>0.73440000000000005</v>
      </c>
      <c r="U7" s="94">
        <f>T7+T8</f>
        <v>0.73440000000000005</v>
      </c>
      <c r="V7" s="88">
        <v>43</v>
      </c>
      <c r="W7" s="88">
        <f>L7*V7</f>
        <v>10320</v>
      </c>
    </row>
    <row r="8" spans="1:23" ht="20.05" customHeight="1">
      <c r="A8" s="101"/>
      <c r="B8" s="101"/>
      <c r="C8" s="61"/>
      <c r="D8" s="103"/>
      <c r="E8" s="58"/>
      <c r="F8" s="98"/>
      <c r="G8" s="92"/>
      <c r="H8" s="96"/>
      <c r="I8" s="20"/>
      <c r="J8" s="20"/>
      <c r="K8" s="34"/>
      <c r="L8" s="92"/>
      <c r="M8" s="20">
        <v>17.2</v>
      </c>
      <c r="N8" s="20">
        <v>16.2</v>
      </c>
      <c r="O8" s="20">
        <f t="shared" si="1"/>
        <v>0</v>
      </c>
      <c r="P8" s="20">
        <f t="shared" si="2"/>
        <v>0</v>
      </c>
      <c r="Q8" s="20">
        <v>54</v>
      </c>
      <c r="R8" s="20">
        <v>34</v>
      </c>
      <c r="S8" s="20">
        <v>40</v>
      </c>
      <c r="T8" s="37">
        <f t="shared" si="3"/>
        <v>0</v>
      </c>
      <c r="U8" s="95"/>
      <c r="V8" s="89"/>
      <c r="W8" s="89"/>
    </row>
    <row r="9" spans="1:23" ht="20.05" customHeight="1">
      <c r="A9" s="101"/>
      <c r="B9" s="101"/>
      <c r="C9" s="61"/>
      <c r="D9" s="103" t="s">
        <v>42</v>
      </c>
      <c r="E9" s="57" t="s">
        <v>43</v>
      </c>
      <c r="F9" s="97" t="s">
        <v>113</v>
      </c>
      <c r="G9" s="91" t="s">
        <v>44</v>
      </c>
      <c r="H9" s="96" t="s">
        <v>47</v>
      </c>
      <c r="I9" s="33"/>
      <c r="J9" s="20">
        <v>9</v>
      </c>
      <c r="K9" s="34">
        <v>24</v>
      </c>
      <c r="L9" s="91">
        <f t="shared" ref="L9" si="4">J9*K9+K10</f>
        <v>236</v>
      </c>
      <c r="M9" s="20">
        <v>15.4</v>
      </c>
      <c r="N9" s="20">
        <v>14.4</v>
      </c>
      <c r="O9" s="20">
        <f t="shared" si="1"/>
        <v>138.6</v>
      </c>
      <c r="P9" s="20">
        <f t="shared" si="2"/>
        <v>129.6</v>
      </c>
      <c r="Q9" s="20">
        <v>54</v>
      </c>
      <c r="R9" s="20">
        <v>34</v>
      </c>
      <c r="S9" s="20">
        <v>45</v>
      </c>
      <c r="T9" s="37">
        <f t="shared" si="3"/>
        <v>0.74358000000000002</v>
      </c>
      <c r="U9" s="94">
        <f t="shared" ref="U9:U13" si="5">T9+T10</f>
        <v>0.81702000000000008</v>
      </c>
      <c r="V9" s="88">
        <v>43</v>
      </c>
      <c r="W9" s="88">
        <f>L9*V9</f>
        <v>10148</v>
      </c>
    </row>
    <row r="10" spans="1:23" ht="20.05" customHeight="1">
      <c r="A10" s="101"/>
      <c r="B10" s="101"/>
      <c r="C10" s="61"/>
      <c r="D10" s="103"/>
      <c r="E10" s="58"/>
      <c r="F10" s="98"/>
      <c r="G10" s="92"/>
      <c r="H10" s="96"/>
      <c r="I10" s="20"/>
      <c r="J10" s="20">
        <v>1</v>
      </c>
      <c r="K10" s="34">
        <v>20</v>
      </c>
      <c r="L10" s="92"/>
      <c r="M10" s="20">
        <v>14.2</v>
      </c>
      <c r="N10" s="20">
        <v>13.2</v>
      </c>
      <c r="O10" s="20">
        <f t="shared" si="1"/>
        <v>14.2</v>
      </c>
      <c r="P10" s="20">
        <f t="shared" si="2"/>
        <v>13.2</v>
      </c>
      <c r="Q10" s="20">
        <v>54</v>
      </c>
      <c r="R10" s="20">
        <v>34</v>
      </c>
      <c r="S10" s="20">
        <v>40</v>
      </c>
      <c r="T10" s="37">
        <f t="shared" si="3"/>
        <v>7.3440000000000005E-2</v>
      </c>
      <c r="U10" s="95"/>
      <c r="V10" s="89"/>
      <c r="W10" s="89"/>
    </row>
    <row r="11" spans="1:23" ht="20.05" customHeight="1">
      <c r="A11" s="101"/>
      <c r="B11" s="101"/>
      <c r="C11" s="61"/>
      <c r="D11" s="103" t="s">
        <v>42</v>
      </c>
      <c r="E11" s="57" t="s">
        <v>43</v>
      </c>
      <c r="F11" s="97" t="s">
        <v>113</v>
      </c>
      <c r="G11" s="91" t="s">
        <v>44</v>
      </c>
      <c r="H11" s="96" t="s">
        <v>48</v>
      </c>
      <c r="I11" s="33"/>
      <c r="J11" s="20">
        <v>5</v>
      </c>
      <c r="K11" s="34">
        <v>24</v>
      </c>
      <c r="L11" s="91">
        <f t="shared" ref="L11" si="6">J11*K11+K12</f>
        <v>154</v>
      </c>
      <c r="M11" s="20">
        <v>15.4</v>
      </c>
      <c r="N11" s="20">
        <v>14.4</v>
      </c>
      <c r="O11" s="20">
        <f t="shared" si="1"/>
        <v>77</v>
      </c>
      <c r="P11" s="20">
        <f t="shared" si="2"/>
        <v>72</v>
      </c>
      <c r="Q11" s="20">
        <v>54</v>
      </c>
      <c r="R11" s="20">
        <v>34</v>
      </c>
      <c r="S11" s="20">
        <v>40</v>
      </c>
      <c r="T11" s="37">
        <f t="shared" si="3"/>
        <v>0.36720000000000003</v>
      </c>
      <c r="U11" s="94">
        <f t="shared" si="5"/>
        <v>0.46818000000000004</v>
      </c>
      <c r="V11" s="88">
        <v>43</v>
      </c>
      <c r="W11" s="88">
        <f>L11*V11</f>
        <v>6622</v>
      </c>
    </row>
    <row r="12" spans="1:23" ht="20.05" customHeight="1">
      <c r="A12" s="101"/>
      <c r="B12" s="101"/>
      <c r="C12" s="61"/>
      <c r="D12" s="103"/>
      <c r="E12" s="58"/>
      <c r="F12" s="98"/>
      <c r="G12" s="92"/>
      <c r="H12" s="96"/>
      <c r="I12" s="20"/>
      <c r="J12" s="20">
        <v>1</v>
      </c>
      <c r="K12" s="34">
        <v>34</v>
      </c>
      <c r="L12" s="92"/>
      <c r="M12" s="20">
        <v>21.4</v>
      </c>
      <c r="N12" s="20">
        <v>20.399999999999999</v>
      </c>
      <c r="O12" s="20">
        <f t="shared" si="1"/>
        <v>21.4</v>
      </c>
      <c r="P12" s="20">
        <f t="shared" si="2"/>
        <v>20.399999999999999</v>
      </c>
      <c r="Q12" s="20">
        <v>54</v>
      </c>
      <c r="R12" s="20">
        <v>34</v>
      </c>
      <c r="S12" s="20">
        <v>55</v>
      </c>
      <c r="T12" s="37">
        <f t="shared" si="3"/>
        <v>0.10098</v>
      </c>
      <c r="U12" s="95"/>
      <c r="V12" s="89"/>
      <c r="W12" s="89"/>
    </row>
    <row r="13" spans="1:23" ht="20.05" customHeight="1">
      <c r="A13" s="101"/>
      <c r="B13" s="101"/>
      <c r="C13" s="61"/>
      <c r="D13" s="103" t="s">
        <v>42</v>
      </c>
      <c r="E13" s="57" t="s">
        <v>43</v>
      </c>
      <c r="F13" s="97" t="s">
        <v>113</v>
      </c>
      <c r="G13" s="91" t="s">
        <v>44</v>
      </c>
      <c r="H13" s="96" t="s">
        <v>49</v>
      </c>
      <c r="I13" s="33"/>
      <c r="J13" s="20">
        <v>10</v>
      </c>
      <c r="K13" s="34">
        <v>24</v>
      </c>
      <c r="L13" s="91">
        <f>J13*K13+K14</f>
        <v>264</v>
      </c>
      <c r="M13" s="20">
        <v>15.4</v>
      </c>
      <c r="N13" s="20">
        <v>14.4</v>
      </c>
      <c r="O13" s="20">
        <f t="shared" si="1"/>
        <v>154</v>
      </c>
      <c r="P13" s="20">
        <f t="shared" si="2"/>
        <v>144</v>
      </c>
      <c r="Q13" s="20">
        <v>54</v>
      </c>
      <c r="R13" s="20">
        <v>34</v>
      </c>
      <c r="S13" s="20">
        <v>45</v>
      </c>
      <c r="T13" s="37">
        <f t="shared" si="3"/>
        <v>0.82620000000000005</v>
      </c>
      <c r="U13" s="94">
        <f t="shared" si="5"/>
        <v>0.90882000000000007</v>
      </c>
      <c r="V13" s="90">
        <v>43</v>
      </c>
      <c r="W13" s="88">
        <f>L13*V13</f>
        <v>11352</v>
      </c>
    </row>
    <row r="14" spans="1:23" ht="20.05" customHeight="1">
      <c r="A14" s="101"/>
      <c r="B14" s="101"/>
      <c r="C14" s="61"/>
      <c r="D14" s="103"/>
      <c r="E14" s="58"/>
      <c r="F14" s="98"/>
      <c r="G14" s="92"/>
      <c r="H14" s="96"/>
      <c r="I14" s="20"/>
      <c r="J14" s="20">
        <v>1</v>
      </c>
      <c r="K14" s="34">
        <v>24</v>
      </c>
      <c r="L14" s="92"/>
      <c r="M14" s="20">
        <v>15.4</v>
      </c>
      <c r="N14" s="20">
        <v>14.4</v>
      </c>
      <c r="O14" s="20">
        <f t="shared" si="1"/>
        <v>15.4</v>
      </c>
      <c r="P14" s="20">
        <f t="shared" si="2"/>
        <v>14.4</v>
      </c>
      <c r="Q14" s="20">
        <v>54</v>
      </c>
      <c r="R14" s="20">
        <v>34</v>
      </c>
      <c r="S14" s="20">
        <v>45</v>
      </c>
      <c r="T14" s="37">
        <f t="shared" si="3"/>
        <v>8.2619999999999999E-2</v>
      </c>
      <c r="U14" s="95"/>
      <c r="V14" s="90"/>
      <c r="W14" s="89"/>
    </row>
    <row r="15" spans="1:23" ht="20.05" customHeight="1">
      <c r="A15" s="101"/>
      <c r="B15" s="101"/>
      <c r="C15" s="61"/>
      <c r="D15" s="103" t="s">
        <v>42</v>
      </c>
      <c r="E15" s="57" t="s">
        <v>50</v>
      </c>
      <c r="F15" s="97" t="s">
        <v>114</v>
      </c>
      <c r="G15" s="91" t="s">
        <v>44</v>
      </c>
      <c r="H15" s="96" t="s">
        <v>51</v>
      </c>
      <c r="I15" s="33"/>
      <c r="J15" s="20">
        <v>2</v>
      </c>
      <c r="K15" s="34">
        <v>24</v>
      </c>
      <c r="L15" s="91">
        <f>J15*K15+K16</f>
        <v>48</v>
      </c>
      <c r="M15" s="20">
        <v>20</v>
      </c>
      <c r="N15" s="20">
        <v>19</v>
      </c>
      <c r="O15" s="20">
        <f t="shared" si="1"/>
        <v>40</v>
      </c>
      <c r="P15" s="20">
        <f t="shared" si="2"/>
        <v>38</v>
      </c>
      <c r="Q15" s="20">
        <v>54</v>
      </c>
      <c r="R15" s="20">
        <v>34</v>
      </c>
      <c r="S15" s="20">
        <v>55</v>
      </c>
      <c r="T15" s="37">
        <f t="shared" si="3"/>
        <v>0.20196</v>
      </c>
      <c r="U15" s="94">
        <f>T15+T16</f>
        <v>0.20196</v>
      </c>
      <c r="V15" s="93">
        <v>41</v>
      </c>
      <c r="W15" s="88">
        <f>L15*V15</f>
        <v>1968</v>
      </c>
    </row>
    <row r="16" spans="1:23" ht="20.05" customHeight="1">
      <c r="A16" s="101"/>
      <c r="B16" s="101"/>
      <c r="C16" s="61"/>
      <c r="D16" s="103"/>
      <c r="E16" s="58"/>
      <c r="F16" s="98"/>
      <c r="G16" s="92"/>
      <c r="H16" s="96"/>
      <c r="I16" s="20"/>
      <c r="J16" s="20"/>
      <c r="K16" s="34"/>
      <c r="L16" s="92"/>
      <c r="M16" s="20"/>
      <c r="N16" s="20"/>
      <c r="O16" s="20"/>
      <c r="P16" s="20"/>
      <c r="Q16" s="20"/>
      <c r="R16" s="20"/>
      <c r="S16" s="20"/>
      <c r="T16" s="37"/>
      <c r="U16" s="95"/>
      <c r="V16" s="93"/>
      <c r="W16" s="89"/>
    </row>
    <row r="17" spans="1:23" ht="20.05" customHeight="1">
      <c r="A17" s="101"/>
      <c r="B17" s="101"/>
      <c r="C17" s="61"/>
      <c r="D17" s="103" t="s">
        <v>42</v>
      </c>
      <c r="E17" s="57" t="s">
        <v>50</v>
      </c>
      <c r="F17" s="97" t="s">
        <v>114</v>
      </c>
      <c r="G17" s="91" t="s">
        <v>44</v>
      </c>
      <c r="H17" s="96" t="s">
        <v>52</v>
      </c>
      <c r="I17" s="33"/>
      <c r="J17" s="20">
        <v>5</v>
      </c>
      <c r="K17" s="34">
        <v>24</v>
      </c>
      <c r="L17" s="91">
        <f t="shared" ref="L17:L19" si="7">J17*K17+K18</f>
        <v>120</v>
      </c>
      <c r="M17" s="20">
        <v>18.8</v>
      </c>
      <c r="N17" s="20">
        <v>17.8</v>
      </c>
      <c r="O17" s="20">
        <f t="shared" si="1"/>
        <v>94</v>
      </c>
      <c r="P17" s="20">
        <f t="shared" si="2"/>
        <v>89</v>
      </c>
      <c r="Q17" s="20">
        <v>54</v>
      </c>
      <c r="R17" s="20">
        <v>34</v>
      </c>
      <c r="S17" s="20">
        <v>55</v>
      </c>
      <c r="T17" s="37">
        <f t="shared" si="3"/>
        <v>0.50490000000000002</v>
      </c>
      <c r="U17" s="94">
        <f t="shared" ref="U17:U19" si="8">T17+T18</f>
        <v>0.50490000000000002</v>
      </c>
      <c r="V17" s="88">
        <v>44</v>
      </c>
      <c r="W17" s="88">
        <f>L17*V17</f>
        <v>5280</v>
      </c>
    </row>
    <row r="18" spans="1:23" ht="20.05" customHeight="1">
      <c r="A18" s="101"/>
      <c r="B18" s="101"/>
      <c r="C18" s="61"/>
      <c r="D18" s="103"/>
      <c r="E18" s="58"/>
      <c r="F18" s="98"/>
      <c r="G18" s="92"/>
      <c r="H18" s="96"/>
      <c r="I18" s="20"/>
      <c r="J18" s="20"/>
      <c r="K18" s="34"/>
      <c r="L18" s="92"/>
      <c r="M18" s="20">
        <v>24</v>
      </c>
      <c r="N18" s="20">
        <v>23</v>
      </c>
      <c r="O18" s="20">
        <f t="shared" si="1"/>
        <v>0</v>
      </c>
      <c r="P18" s="20">
        <f t="shared" si="2"/>
        <v>0</v>
      </c>
      <c r="Q18" s="20">
        <v>54</v>
      </c>
      <c r="R18" s="20">
        <v>34</v>
      </c>
      <c r="S18" s="20">
        <v>65</v>
      </c>
      <c r="T18" s="37">
        <f t="shared" si="3"/>
        <v>0</v>
      </c>
      <c r="U18" s="95"/>
      <c r="V18" s="89"/>
      <c r="W18" s="89"/>
    </row>
    <row r="19" spans="1:23" ht="20.05" customHeight="1">
      <c r="A19" s="101"/>
      <c r="B19" s="101"/>
      <c r="C19" s="61"/>
      <c r="D19" s="103" t="s">
        <v>42</v>
      </c>
      <c r="E19" s="57" t="s">
        <v>50</v>
      </c>
      <c r="F19" s="97" t="s">
        <v>114</v>
      </c>
      <c r="G19" s="91" t="s">
        <v>44</v>
      </c>
      <c r="H19" s="96" t="s">
        <v>54</v>
      </c>
      <c r="I19" s="33"/>
      <c r="J19" s="20">
        <v>9</v>
      </c>
      <c r="K19" s="34">
        <v>24</v>
      </c>
      <c r="L19" s="91">
        <f t="shared" si="7"/>
        <v>233</v>
      </c>
      <c r="M19" s="20">
        <v>18.8</v>
      </c>
      <c r="N19" s="20">
        <v>17.8</v>
      </c>
      <c r="O19" s="20">
        <f t="shared" si="1"/>
        <v>169.20000000000002</v>
      </c>
      <c r="P19" s="20">
        <f t="shared" si="2"/>
        <v>160.20000000000002</v>
      </c>
      <c r="Q19" s="20">
        <v>54</v>
      </c>
      <c r="R19" s="20">
        <v>34</v>
      </c>
      <c r="S19" s="20">
        <v>55</v>
      </c>
      <c r="T19" s="37">
        <f t="shared" si="3"/>
        <v>0.90881999999999996</v>
      </c>
      <c r="U19" s="94">
        <f t="shared" si="8"/>
        <v>0.98225999999999991</v>
      </c>
      <c r="V19" s="88">
        <v>44.5</v>
      </c>
      <c r="W19" s="88">
        <f>L19*V19</f>
        <v>10368.5</v>
      </c>
    </row>
    <row r="20" spans="1:23" ht="20.05" customHeight="1">
      <c r="A20" s="102"/>
      <c r="B20" s="102"/>
      <c r="C20" s="61"/>
      <c r="D20" s="103"/>
      <c r="E20" s="58"/>
      <c r="F20" s="98"/>
      <c r="G20" s="92"/>
      <c r="H20" s="96"/>
      <c r="I20" s="20"/>
      <c r="J20" s="20">
        <v>1</v>
      </c>
      <c r="K20" s="34">
        <v>17</v>
      </c>
      <c r="L20" s="92"/>
      <c r="M20" s="20">
        <v>13.6</v>
      </c>
      <c r="N20" s="20">
        <v>12.6</v>
      </c>
      <c r="O20" s="20">
        <f t="shared" si="1"/>
        <v>13.6</v>
      </c>
      <c r="P20" s="20">
        <f t="shared" si="2"/>
        <v>12.6</v>
      </c>
      <c r="Q20" s="20">
        <v>54</v>
      </c>
      <c r="R20" s="20">
        <v>34</v>
      </c>
      <c r="S20" s="20">
        <v>40</v>
      </c>
      <c r="T20" s="37">
        <f t="shared" si="3"/>
        <v>7.3440000000000005E-2</v>
      </c>
      <c r="U20" s="95"/>
      <c r="V20" s="89"/>
      <c r="W20" s="89"/>
    </row>
    <row r="21" spans="1:23" ht="20.05" customHeight="1">
      <c r="A21" s="36"/>
      <c r="B21" s="36"/>
      <c r="C21" s="61"/>
      <c r="D21" s="57" t="s">
        <v>42</v>
      </c>
      <c r="E21" s="57" t="s">
        <v>50</v>
      </c>
      <c r="F21" s="99" t="s">
        <v>114</v>
      </c>
      <c r="G21" s="91" t="s">
        <v>44</v>
      </c>
      <c r="H21" s="91" t="s">
        <v>55</v>
      </c>
      <c r="I21" s="33"/>
      <c r="J21" s="20">
        <v>1</v>
      </c>
      <c r="K21" s="34">
        <v>27</v>
      </c>
      <c r="L21" s="91">
        <f>J21*K21+K22</f>
        <v>27</v>
      </c>
      <c r="M21" s="20">
        <v>17.8</v>
      </c>
      <c r="N21" s="20">
        <v>16.8</v>
      </c>
      <c r="O21" s="20">
        <f t="shared" si="1"/>
        <v>17.8</v>
      </c>
      <c r="P21" s="20">
        <f t="shared" si="2"/>
        <v>16.8</v>
      </c>
      <c r="Q21" s="20">
        <v>54</v>
      </c>
      <c r="R21" s="20">
        <v>34</v>
      </c>
      <c r="S21" s="20">
        <v>55</v>
      </c>
      <c r="T21" s="37">
        <f t="shared" si="3"/>
        <v>0.10098</v>
      </c>
      <c r="U21" s="94">
        <f>T21+T22</f>
        <v>0.10098</v>
      </c>
      <c r="V21" s="88">
        <v>43</v>
      </c>
      <c r="W21" s="88">
        <f>L21*V21</f>
        <v>1161</v>
      </c>
    </row>
    <row r="22" spans="1:23" ht="20.05" customHeight="1">
      <c r="A22" s="36"/>
      <c r="B22" s="36"/>
      <c r="C22" s="58"/>
      <c r="D22" s="58"/>
      <c r="E22" s="58"/>
      <c r="F22" s="100"/>
      <c r="G22" s="92"/>
      <c r="H22" s="92"/>
      <c r="I22" s="20"/>
      <c r="J22" s="20"/>
      <c r="K22" s="34"/>
      <c r="L22" s="92"/>
      <c r="M22" s="20"/>
      <c r="N22" s="20"/>
      <c r="O22" s="20"/>
      <c r="P22" s="20"/>
      <c r="Q22" s="20"/>
      <c r="R22" s="20"/>
      <c r="S22" s="20"/>
      <c r="T22" s="37"/>
      <c r="U22" s="95"/>
      <c r="V22" s="89"/>
      <c r="W22" s="89"/>
    </row>
    <row r="23" spans="1:23" ht="20.05" customHeight="1">
      <c r="A23" s="25"/>
      <c r="B23" s="25"/>
      <c r="C23" s="25"/>
      <c r="D23" s="13" t="s">
        <v>56</v>
      </c>
      <c r="E23" s="13"/>
      <c r="F23" s="13"/>
      <c r="G23" s="13"/>
      <c r="H23" s="13"/>
      <c r="I23" s="13"/>
      <c r="J23" s="20">
        <f>SUM(J5:J22)</f>
        <v>61</v>
      </c>
      <c r="K23" s="34"/>
      <c r="L23" s="20">
        <f>SUM(L5:L22)</f>
        <v>1466</v>
      </c>
      <c r="M23" s="20"/>
      <c r="N23" s="20"/>
      <c r="O23" s="20">
        <f>SUM(O5:O20)</f>
        <v>985</v>
      </c>
      <c r="P23" s="20">
        <f>SUM(P5:P20)</f>
        <v>925</v>
      </c>
      <c r="Q23" s="20"/>
      <c r="R23" s="20"/>
      <c r="S23" s="20"/>
      <c r="T23" s="20"/>
      <c r="U23" s="37">
        <f>SUM(U5:U22)</f>
        <v>5.15916</v>
      </c>
      <c r="V23" s="35"/>
      <c r="W23" s="38">
        <f>SUM(W5:W22)</f>
        <v>63411.5</v>
      </c>
    </row>
    <row r="25" spans="1:23">
      <c r="J25" s="39">
        <f>'HF26-05USD#'!J11+'HF26-10USD#'!J8+'HF26-11USD#'!J14+'HF26-12USD#'!J11+'HF26-13USD#'!J14+'HF26-06MSD#'!J8+'HF26-07MSD#'!J8+'HF26-08MSD#'!J11+'HF26-14MSD#'!J8</f>
        <v>61</v>
      </c>
      <c r="L25" s="39">
        <f>'HF26-05USD#'!L11+'HF26-10USD#'!L8+'HF26-11USD#'!L14+'HF26-12USD#'!L11+'HF26-13USD#'!L14+'HF26-06MSD#'!L8+'HF26-07MSD#'!L8+'HF26-08MSD#'!L11+'HF26-14MSD#'!L8</f>
        <v>1466</v>
      </c>
      <c r="O25" s="39">
        <f>'HF26-05USD#'!O11+'HF26-10USD#'!O8+'HF26-11USD#'!O14+'HF26-12USD#'!O11+'HF26-13USD#'!O14+'HF26-06MSD#'!O8+'HF26-07MSD#'!O8+'HF26-08MSD#'!O11+'HF26-14MSD#'!O8</f>
        <v>978.40000000000009</v>
      </c>
      <c r="P25" s="39">
        <f>'HF26-05USD#'!P11+'HF26-10USD#'!P8+'HF26-11USD#'!P14+'HF26-12USD#'!P11+'HF26-13USD#'!P14+'HF26-06MSD#'!P8+'HF26-07MSD#'!P8+'HF26-08MSD#'!P11+'HF26-14MSD#'!P8</f>
        <v>919.50000000000011</v>
      </c>
      <c r="U25" s="44">
        <f>'HF26-05USD#'!U11+'HF26-10USD#'!U8+'HF26-11USD#'!U14+'HF26-12USD#'!U11+'HF26-13USD#'!U14+'HF26-06MSD#'!U8+'HF26-07MSD#'!U8+'HF26-08MSD#'!U11+'HF26-14MSD#'!U8</f>
        <v>5.15916</v>
      </c>
    </row>
  </sheetData>
  <mergeCells count="89">
    <mergeCell ref="D1:W1"/>
    <mergeCell ref="Q2:R2"/>
    <mergeCell ref="S2:W2"/>
    <mergeCell ref="Q3:S3"/>
    <mergeCell ref="Q4:S4"/>
    <mergeCell ref="A5:A20"/>
    <mergeCell ref="B5:B20"/>
    <mergeCell ref="C5:C22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E21:E22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E5:E6"/>
    <mergeCell ref="E7:E8"/>
    <mergeCell ref="E9:E10"/>
    <mergeCell ref="E11:E12"/>
    <mergeCell ref="E13:E14"/>
    <mergeCell ref="E15:E16"/>
    <mergeCell ref="E17:E18"/>
    <mergeCell ref="E19:E20"/>
    <mergeCell ref="G15:G16"/>
    <mergeCell ref="G17:G18"/>
    <mergeCell ref="G19:G20"/>
    <mergeCell ref="G21:G22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G5:G6"/>
    <mergeCell ref="G7:G8"/>
    <mergeCell ref="G9:G10"/>
    <mergeCell ref="G11:G12"/>
    <mergeCell ref="G13:G14"/>
    <mergeCell ref="L21:L22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L5:L6"/>
    <mergeCell ref="L7:L8"/>
    <mergeCell ref="L9:L10"/>
    <mergeCell ref="L11:L12"/>
    <mergeCell ref="L13:L14"/>
    <mergeCell ref="L15:L16"/>
    <mergeCell ref="L17:L18"/>
    <mergeCell ref="L19:L20"/>
    <mergeCell ref="V15:V16"/>
    <mergeCell ref="V17:V18"/>
    <mergeCell ref="V19:V20"/>
    <mergeCell ref="V21:V22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V5:V6"/>
    <mergeCell ref="V7:V8"/>
    <mergeCell ref="V9:V10"/>
    <mergeCell ref="V11:V12"/>
    <mergeCell ref="V13:V14"/>
  </mergeCells>
  <phoneticPr fontId="12" type="noConversion"/>
  <pageMargins left="0.55069444444444404" right="0.118110236220472" top="0.74803149606299202" bottom="0.74803149606299202" header="0.31496062992126" footer="0.31496062992126"/>
  <pageSetup paperSize="9" scale="85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V39"/>
  <sheetViews>
    <sheetView topLeftCell="A3" zoomScale="85" zoomScaleNormal="85" workbookViewId="0">
      <selection activeCell="A14" sqref="A14:B14"/>
    </sheetView>
  </sheetViews>
  <sheetFormatPr baseColWidth="10" defaultColWidth="9" defaultRowHeight="14.6"/>
  <cols>
    <col min="1" max="1" width="14.69140625" customWidth="1"/>
    <col min="2" max="2" width="13.3828125" customWidth="1"/>
    <col min="4" max="4" width="12.61328125" customWidth="1"/>
    <col min="5" max="8" width="6.61328125" customWidth="1"/>
    <col min="17" max="19" width="4.61328125" customWidth="1"/>
    <col min="20" max="20" width="11.4609375" customWidth="1"/>
    <col min="21" max="21" width="10.61328125" customWidth="1"/>
  </cols>
  <sheetData>
    <row r="1" spans="1:22" ht="22.75">
      <c r="A1" s="104" t="s">
        <v>57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</row>
    <row r="2" spans="1:22" ht="18" customHeight="1">
      <c r="A2" s="1" t="s">
        <v>9</v>
      </c>
      <c r="B2" s="1" t="s">
        <v>4</v>
      </c>
      <c r="C2" s="2" t="s">
        <v>10</v>
      </c>
      <c r="D2" s="3" t="s">
        <v>58</v>
      </c>
      <c r="E2" s="76" t="s">
        <v>59</v>
      </c>
      <c r="F2" s="77"/>
      <c r="G2" s="77"/>
      <c r="H2" s="78"/>
      <c r="I2" s="4" t="s">
        <v>60</v>
      </c>
      <c r="J2" s="5" t="s">
        <v>61</v>
      </c>
      <c r="K2" s="6" t="s">
        <v>62</v>
      </c>
      <c r="L2" s="6" t="s">
        <v>63</v>
      </c>
      <c r="M2" s="1" t="s">
        <v>14</v>
      </c>
      <c r="N2" s="1" t="s">
        <v>15</v>
      </c>
      <c r="O2" s="1" t="s">
        <v>16</v>
      </c>
      <c r="P2" s="1" t="s">
        <v>17</v>
      </c>
      <c r="Q2" s="79" t="s">
        <v>18</v>
      </c>
      <c r="R2" s="80"/>
      <c r="S2" s="81"/>
      <c r="T2" s="7" t="s">
        <v>19</v>
      </c>
      <c r="U2" s="8" t="s">
        <v>20</v>
      </c>
    </row>
    <row r="3" spans="1:22" ht="18" customHeight="1">
      <c r="A3" s="57" t="s">
        <v>64</v>
      </c>
      <c r="B3" s="53" t="s">
        <v>65</v>
      </c>
      <c r="C3" s="62" t="s">
        <v>66</v>
      </c>
      <c r="D3" s="68" t="s">
        <v>67</v>
      </c>
      <c r="E3" s="82" t="s">
        <v>68</v>
      </c>
      <c r="F3" s="83"/>
      <c r="G3" s="83"/>
      <c r="H3" s="84"/>
      <c r="I3" s="57" t="s">
        <v>69</v>
      </c>
      <c r="J3" s="57" t="s">
        <v>70</v>
      </c>
      <c r="K3" s="53" t="s">
        <v>71</v>
      </c>
      <c r="L3" s="57" t="s">
        <v>72</v>
      </c>
      <c r="M3" s="53" t="s">
        <v>32</v>
      </c>
      <c r="N3" s="53" t="s">
        <v>33</v>
      </c>
      <c r="O3" s="53" t="s">
        <v>73</v>
      </c>
      <c r="P3" s="53" t="s">
        <v>74</v>
      </c>
      <c r="Q3" s="79" t="s">
        <v>75</v>
      </c>
      <c r="R3" s="80"/>
      <c r="S3" s="112"/>
      <c r="T3" s="87" t="s">
        <v>76</v>
      </c>
      <c r="U3" s="46" t="s">
        <v>38</v>
      </c>
    </row>
    <row r="4" spans="1:22" ht="18" customHeight="1">
      <c r="A4" s="58"/>
      <c r="B4" s="54"/>
      <c r="C4" s="63"/>
      <c r="D4" s="69"/>
      <c r="E4" s="2" t="s">
        <v>77</v>
      </c>
      <c r="F4" s="2" t="s">
        <v>78</v>
      </c>
      <c r="G4" s="2" t="s">
        <v>79</v>
      </c>
      <c r="H4" s="2" t="s">
        <v>80</v>
      </c>
      <c r="I4" s="58"/>
      <c r="J4" s="58"/>
      <c r="K4" s="54"/>
      <c r="L4" s="58"/>
      <c r="M4" s="54"/>
      <c r="N4" s="54"/>
      <c r="O4" s="54"/>
      <c r="P4" s="54"/>
      <c r="Q4" s="9" t="s">
        <v>81</v>
      </c>
      <c r="R4" s="9" t="s">
        <v>82</v>
      </c>
      <c r="S4" s="9" t="s">
        <v>83</v>
      </c>
      <c r="T4" s="87"/>
      <c r="U4" s="47"/>
    </row>
    <row r="5" spans="1:22" ht="18" customHeight="1">
      <c r="A5" s="57" t="s">
        <v>45</v>
      </c>
      <c r="B5" s="57" t="s">
        <v>41</v>
      </c>
      <c r="C5" s="64"/>
      <c r="D5" s="10" t="s">
        <v>94</v>
      </c>
      <c r="E5" s="11">
        <v>2</v>
      </c>
      <c r="F5" s="11">
        <v>2</v>
      </c>
      <c r="G5" s="11">
        <v>2</v>
      </c>
      <c r="H5" s="11">
        <v>2</v>
      </c>
      <c r="I5" s="11">
        <f t="shared" ref="I5:I10" si="0">SUM(E5:H5)</f>
        <v>8</v>
      </c>
      <c r="J5" s="50">
        <v>5</v>
      </c>
      <c r="K5" s="50">
        <f>SUM(I5:I7)</f>
        <v>24</v>
      </c>
      <c r="L5" s="50">
        <f>J5*K5</f>
        <v>120</v>
      </c>
      <c r="M5" s="50">
        <v>15.6</v>
      </c>
      <c r="N5" s="50">
        <v>14.6</v>
      </c>
      <c r="O5" s="50">
        <f>J5*M5+M8</f>
        <v>93.6</v>
      </c>
      <c r="P5" s="50">
        <f>J5*N5+N8</f>
        <v>87.6</v>
      </c>
      <c r="Q5" s="50">
        <v>54</v>
      </c>
      <c r="R5" s="50">
        <v>34</v>
      </c>
      <c r="S5" s="50">
        <v>40</v>
      </c>
      <c r="T5" s="45">
        <f>Q5*R5*S5/1000000</f>
        <v>7.3440000000000005E-2</v>
      </c>
      <c r="U5" s="48">
        <f>Q5*R5*S5/1000000*J5+Q8*R8*S8/1000000*J8</f>
        <v>0.44064000000000003</v>
      </c>
    </row>
    <row r="6" spans="1:22" ht="18" customHeight="1">
      <c r="A6" s="61"/>
      <c r="B6" s="61"/>
      <c r="C6" s="65"/>
      <c r="D6" s="10" t="s">
        <v>95</v>
      </c>
      <c r="E6" s="11">
        <v>2</v>
      </c>
      <c r="F6" s="11">
        <v>2</v>
      </c>
      <c r="G6" s="11">
        <v>2</v>
      </c>
      <c r="H6" s="11">
        <v>2</v>
      </c>
      <c r="I6" s="11">
        <f t="shared" si="0"/>
        <v>8</v>
      </c>
      <c r="J6" s="51"/>
      <c r="K6" s="51"/>
      <c r="L6" s="51"/>
      <c r="M6" s="51"/>
      <c r="N6" s="51"/>
      <c r="O6" s="51"/>
      <c r="P6" s="51"/>
      <c r="Q6" s="51"/>
      <c r="R6" s="51"/>
      <c r="S6" s="51"/>
      <c r="T6" s="45"/>
      <c r="U6" s="49"/>
    </row>
    <row r="7" spans="1:22" ht="18" customHeight="1">
      <c r="A7" s="61"/>
      <c r="B7" s="61"/>
      <c r="C7" s="66"/>
      <c r="D7" s="10" t="s">
        <v>96</v>
      </c>
      <c r="E7" s="11">
        <v>2</v>
      </c>
      <c r="F7" s="11">
        <v>2</v>
      </c>
      <c r="G7" s="11">
        <v>2</v>
      </c>
      <c r="H7" s="11">
        <v>2</v>
      </c>
      <c r="I7" s="11">
        <f t="shared" si="0"/>
        <v>8</v>
      </c>
      <c r="J7" s="52"/>
      <c r="K7" s="52"/>
      <c r="L7" s="52"/>
      <c r="M7" s="52"/>
      <c r="N7" s="52"/>
      <c r="O7" s="51"/>
      <c r="P7" s="51"/>
      <c r="Q7" s="52"/>
      <c r="R7" s="52"/>
      <c r="S7" s="52"/>
      <c r="T7" s="45"/>
      <c r="U7" s="49"/>
    </row>
    <row r="8" spans="1:22" ht="18" customHeight="1">
      <c r="A8" s="61"/>
      <c r="B8" s="61"/>
      <c r="C8" s="50"/>
      <c r="D8" s="10" t="s">
        <v>94</v>
      </c>
      <c r="E8" s="11">
        <v>3</v>
      </c>
      <c r="F8" s="11">
        <v>2</v>
      </c>
      <c r="G8" s="11">
        <v>3</v>
      </c>
      <c r="H8" s="11">
        <v>3</v>
      </c>
      <c r="I8" s="11">
        <f t="shared" si="0"/>
        <v>11</v>
      </c>
      <c r="J8" s="50">
        <v>1</v>
      </c>
      <c r="K8" s="50">
        <f>SUM(I8:I10)</f>
        <v>24</v>
      </c>
      <c r="L8" s="50">
        <f>J8*K8</f>
        <v>24</v>
      </c>
      <c r="M8" s="50">
        <v>15.6</v>
      </c>
      <c r="N8" s="50">
        <v>14.6</v>
      </c>
      <c r="O8" s="51"/>
      <c r="P8" s="51"/>
      <c r="Q8" s="50">
        <v>54</v>
      </c>
      <c r="R8" s="50">
        <v>34</v>
      </c>
      <c r="S8" s="50">
        <v>40</v>
      </c>
      <c r="T8" s="45">
        <f>Q8*R8*S8/1000000</f>
        <v>7.3440000000000005E-2</v>
      </c>
      <c r="U8" s="49"/>
    </row>
    <row r="9" spans="1:22" ht="18" customHeight="1">
      <c r="A9" s="61"/>
      <c r="B9" s="61"/>
      <c r="C9" s="65"/>
      <c r="D9" s="10" t="s">
        <v>95</v>
      </c>
      <c r="E9" s="11">
        <v>1</v>
      </c>
      <c r="F9" s="11">
        <v>1</v>
      </c>
      <c r="G9" s="11">
        <v>2</v>
      </c>
      <c r="H9" s="11">
        <v>2</v>
      </c>
      <c r="I9" s="11">
        <f t="shared" si="0"/>
        <v>6</v>
      </c>
      <c r="J9" s="51"/>
      <c r="K9" s="51"/>
      <c r="L9" s="51"/>
      <c r="M9" s="51"/>
      <c r="N9" s="51"/>
      <c r="O9" s="51"/>
      <c r="P9" s="51"/>
      <c r="Q9" s="51"/>
      <c r="R9" s="51"/>
      <c r="S9" s="51"/>
      <c r="T9" s="45"/>
      <c r="U9" s="49"/>
    </row>
    <row r="10" spans="1:22" ht="18" customHeight="1">
      <c r="A10" s="58"/>
      <c r="B10" s="58"/>
      <c r="C10" s="66"/>
      <c r="D10" s="10" t="s">
        <v>96</v>
      </c>
      <c r="E10" s="11">
        <v>2</v>
      </c>
      <c r="F10" s="11">
        <v>2</v>
      </c>
      <c r="G10" s="11">
        <v>1</v>
      </c>
      <c r="H10" s="11">
        <v>2</v>
      </c>
      <c r="I10" s="11">
        <f t="shared" si="0"/>
        <v>7</v>
      </c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45"/>
      <c r="U10" s="108"/>
    </row>
    <row r="11" spans="1:22" ht="18" customHeight="1">
      <c r="A11" s="13" t="s">
        <v>56</v>
      </c>
      <c r="B11" s="13"/>
      <c r="C11" s="13"/>
      <c r="D11" s="13"/>
      <c r="E11" s="13"/>
      <c r="F11" s="13"/>
      <c r="G11" s="13"/>
      <c r="H11" s="13"/>
      <c r="I11" s="20"/>
      <c r="J11" s="20">
        <f>SUM(J5:J10)</f>
        <v>6</v>
      </c>
      <c r="K11" s="20"/>
      <c r="L11" s="20">
        <f>SUM(L5:L10)</f>
        <v>144</v>
      </c>
      <c r="M11" s="20"/>
      <c r="N11" s="20"/>
      <c r="O11" s="20">
        <f>SUM(O5:O10)</f>
        <v>93.6</v>
      </c>
      <c r="P11" s="20">
        <f>SUM(P5:P10)</f>
        <v>87.6</v>
      </c>
      <c r="Q11" s="20"/>
      <c r="R11" s="20"/>
      <c r="S11" s="20"/>
      <c r="T11" s="37"/>
      <c r="U11" s="37">
        <f>SUM(U5:U10)</f>
        <v>0.44064000000000003</v>
      </c>
    </row>
    <row r="12" spans="1:22" ht="18" customHeight="1"/>
    <row r="13" spans="1:22" ht="18" customHeight="1"/>
    <row r="14" spans="1:22" ht="18" customHeight="1">
      <c r="A14" s="73" t="s">
        <v>85</v>
      </c>
      <c r="B14" s="73"/>
      <c r="C14" t="s">
        <v>86</v>
      </c>
      <c r="E14" t="s">
        <v>87</v>
      </c>
      <c r="H14" t="s">
        <v>88</v>
      </c>
      <c r="J14" t="s">
        <v>89</v>
      </c>
      <c r="L14" t="s">
        <v>90</v>
      </c>
      <c r="N14" t="s">
        <v>91</v>
      </c>
      <c r="P14" t="s">
        <v>92</v>
      </c>
    </row>
    <row r="15" spans="1:22" ht="18" customHeight="1">
      <c r="A15" s="12"/>
      <c r="B15" s="12"/>
      <c r="C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</row>
    <row r="16" spans="1:22" ht="18" customHeight="1">
      <c r="A16" s="12"/>
      <c r="B16" s="12"/>
      <c r="C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</row>
    <row r="17" spans="1:22" ht="18" customHeight="1">
      <c r="A17" s="12"/>
      <c r="B17" s="12"/>
      <c r="C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</row>
    <row r="18" spans="1:22" ht="18" customHeight="1">
      <c r="A18" s="12"/>
      <c r="B18" s="12"/>
      <c r="C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</row>
    <row r="19" spans="1:22" ht="18" customHeight="1">
      <c r="A19" s="12"/>
      <c r="B19" s="12"/>
      <c r="C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</row>
    <row r="20" spans="1:22" ht="18" customHeight="1">
      <c r="A20" s="12"/>
      <c r="B20" s="12"/>
      <c r="C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</row>
    <row r="21" spans="1:22" ht="18" customHeight="1">
      <c r="A21" s="12"/>
      <c r="B21" s="12"/>
      <c r="C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</row>
    <row r="22" spans="1:22" ht="18" customHeight="1">
      <c r="A22" s="12"/>
      <c r="B22" s="12"/>
      <c r="C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  <row r="23" spans="1:22" ht="18" customHeight="1">
      <c r="A23" s="12"/>
      <c r="B23" s="12"/>
      <c r="C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</row>
    <row r="24" spans="1:22" ht="18" customHeight="1">
      <c r="A24" s="12"/>
      <c r="B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</row>
    <row r="25" spans="1:22" ht="18" customHeight="1">
      <c r="A25" s="12"/>
      <c r="B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</row>
    <row r="26" spans="1:22" ht="18" customHeight="1">
      <c r="A26" s="12"/>
      <c r="B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</row>
    <row r="27" spans="1:22" ht="18" customHeight="1">
      <c r="A27" s="12"/>
      <c r="B27" s="12"/>
      <c r="E27" s="74" t="s">
        <v>79</v>
      </c>
      <c r="F27" s="74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</row>
    <row r="28" spans="1:22" ht="18" customHeight="1">
      <c r="C28" s="109" t="s">
        <v>93</v>
      </c>
      <c r="D28" s="10" t="s">
        <v>94</v>
      </c>
      <c r="E28" s="55"/>
      <c r="F28" s="56"/>
    </row>
    <row r="29" spans="1:22" ht="18" customHeight="1">
      <c r="C29" s="110"/>
      <c r="D29" s="10" t="s">
        <v>95</v>
      </c>
      <c r="E29" s="55"/>
      <c r="F29" s="56"/>
    </row>
    <row r="30" spans="1:22" ht="18" customHeight="1">
      <c r="C30" s="111"/>
      <c r="D30" s="10" t="s">
        <v>96</v>
      </c>
      <c r="E30" s="55">
        <v>1</v>
      </c>
      <c r="F30" s="56"/>
    </row>
    <row r="31" spans="1:22" ht="18" customHeight="1"/>
    <row r="32" spans="1:2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</sheetData>
  <mergeCells count="50">
    <mergeCell ref="A1:U1"/>
    <mergeCell ref="E2:H2"/>
    <mergeCell ref="Q2:S2"/>
    <mergeCell ref="E3:H3"/>
    <mergeCell ref="Q3:S3"/>
    <mergeCell ref="A3:A4"/>
    <mergeCell ref="D3:D4"/>
    <mergeCell ref="I3:I4"/>
    <mergeCell ref="J3:J4"/>
    <mergeCell ref="L3:L4"/>
    <mergeCell ref="N3:N4"/>
    <mergeCell ref="T3:T4"/>
    <mergeCell ref="A14:B14"/>
    <mergeCell ref="E27:F27"/>
    <mergeCell ref="E28:F28"/>
    <mergeCell ref="E29:F29"/>
    <mergeCell ref="E30:F30"/>
    <mergeCell ref="C28:C30"/>
    <mergeCell ref="A5:A10"/>
    <mergeCell ref="B3:B4"/>
    <mergeCell ref="B5:B10"/>
    <mergeCell ref="C3:C4"/>
    <mergeCell ref="C5:C7"/>
    <mergeCell ref="C8:C10"/>
    <mergeCell ref="J5:J7"/>
    <mergeCell ref="J8:J10"/>
    <mergeCell ref="K3:K4"/>
    <mergeCell ref="K5:K7"/>
    <mergeCell ref="K8:K10"/>
    <mergeCell ref="L5:L7"/>
    <mergeCell ref="L8:L10"/>
    <mergeCell ref="M3:M4"/>
    <mergeCell ref="M5:M7"/>
    <mergeCell ref="M8:M10"/>
    <mergeCell ref="N5:N7"/>
    <mergeCell ref="N8:N10"/>
    <mergeCell ref="O3:O4"/>
    <mergeCell ref="O5:O10"/>
    <mergeCell ref="P3:P4"/>
    <mergeCell ref="P5:P10"/>
    <mergeCell ref="T5:T7"/>
    <mergeCell ref="T8:T10"/>
    <mergeCell ref="U3:U4"/>
    <mergeCell ref="U5:U10"/>
    <mergeCell ref="Q5:Q7"/>
    <mergeCell ref="Q8:Q10"/>
    <mergeCell ref="R5:R7"/>
    <mergeCell ref="R8:R10"/>
    <mergeCell ref="S5:S7"/>
    <mergeCell ref="S8:S10"/>
  </mergeCells>
  <phoneticPr fontId="12" type="noConversion"/>
  <pageMargins left="0.70866141732283505" right="0.70866141732283505" top="0.74803149606299202" bottom="0.74803149606299202" header="0.31496062992126" footer="0.31496062992126"/>
  <pageSetup paperSize="9" scale="7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W44"/>
  <sheetViews>
    <sheetView zoomScale="85" zoomScaleNormal="85" workbookViewId="0">
      <selection activeCell="O5" sqref="O5:U8"/>
    </sheetView>
  </sheetViews>
  <sheetFormatPr baseColWidth="10" defaultColWidth="9" defaultRowHeight="14.6"/>
  <cols>
    <col min="1" max="1" width="13.4609375" customWidth="1"/>
    <col min="2" max="2" width="11.84375" customWidth="1"/>
    <col min="4" max="4" width="12.61328125" customWidth="1"/>
    <col min="5" max="8" width="6.61328125" customWidth="1"/>
    <col min="17" max="19" width="4.61328125" customWidth="1"/>
    <col min="20" max="20" width="12.23046875" customWidth="1"/>
    <col min="21" max="21" width="10.84375" customWidth="1"/>
  </cols>
  <sheetData>
    <row r="1" spans="1:23" ht="22.75">
      <c r="A1" s="104" t="s">
        <v>97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</row>
    <row r="2" spans="1:23" ht="18" customHeight="1">
      <c r="A2" s="1" t="s">
        <v>9</v>
      </c>
      <c r="B2" s="1" t="s">
        <v>4</v>
      </c>
      <c r="C2" s="2" t="s">
        <v>10</v>
      </c>
      <c r="D2" s="3" t="s">
        <v>58</v>
      </c>
      <c r="E2" s="76" t="s">
        <v>59</v>
      </c>
      <c r="F2" s="77"/>
      <c r="G2" s="77"/>
      <c r="H2" s="78"/>
      <c r="I2" s="4" t="s">
        <v>60</v>
      </c>
      <c r="J2" s="5" t="s">
        <v>61</v>
      </c>
      <c r="K2" s="6" t="s">
        <v>62</v>
      </c>
      <c r="L2" s="6" t="s">
        <v>63</v>
      </c>
      <c r="M2" s="1" t="s">
        <v>14</v>
      </c>
      <c r="N2" s="1" t="s">
        <v>15</v>
      </c>
      <c r="O2" s="1" t="s">
        <v>16</v>
      </c>
      <c r="P2" s="1" t="s">
        <v>17</v>
      </c>
      <c r="Q2" s="79" t="s">
        <v>18</v>
      </c>
      <c r="R2" s="80"/>
      <c r="S2" s="81"/>
      <c r="T2" s="7" t="s">
        <v>19</v>
      </c>
      <c r="U2" s="8" t="s">
        <v>20</v>
      </c>
    </row>
    <row r="3" spans="1:23" ht="18" customHeight="1">
      <c r="A3" s="57" t="s">
        <v>64</v>
      </c>
      <c r="B3" s="53" t="s">
        <v>65</v>
      </c>
      <c r="C3" s="62" t="s">
        <v>66</v>
      </c>
      <c r="D3" s="68" t="s">
        <v>67</v>
      </c>
      <c r="E3" s="82" t="s">
        <v>68</v>
      </c>
      <c r="F3" s="83"/>
      <c r="G3" s="83"/>
      <c r="H3" s="84"/>
      <c r="I3" s="57" t="s">
        <v>69</v>
      </c>
      <c r="J3" s="57" t="s">
        <v>70</v>
      </c>
      <c r="K3" s="53" t="s">
        <v>71</v>
      </c>
      <c r="L3" s="57" t="s">
        <v>72</v>
      </c>
      <c r="M3" s="53" t="s">
        <v>32</v>
      </c>
      <c r="N3" s="53" t="s">
        <v>33</v>
      </c>
      <c r="O3" s="53" t="s">
        <v>73</v>
      </c>
      <c r="P3" s="53" t="s">
        <v>74</v>
      </c>
      <c r="Q3" s="79" t="s">
        <v>75</v>
      </c>
      <c r="R3" s="80"/>
      <c r="S3" s="112"/>
      <c r="T3" s="87" t="s">
        <v>76</v>
      </c>
      <c r="U3" s="46" t="s">
        <v>38</v>
      </c>
    </row>
    <row r="4" spans="1:23" ht="18" customHeight="1">
      <c r="A4" s="58"/>
      <c r="B4" s="54"/>
      <c r="C4" s="63"/>
      <c r="D4" s="69"/>
      <c r="E4" s="2" t="s">
        <v>77</v>
      </c>
      <c r="F4" s="2" t="s">
        <v>78</v>
      </c>
      <c r="G4" s="2" t="s">
        <v>79</v>
      </c>
      <c r="H4" s="2" t="s">
        <v>80</v>
      </c>
      <c r="I4" s="58"/>
      <c r="J4" s="58"/>
      <c r="K4" s="54"/>
      <c r="L4" s="58"/>
      <c r="M4" s="54"/>
      <c r="N4" s="54"/>
      <c r="O4" s="54"/>
      <c r="P4" s="54"/>
      <c r="Q4" s="9" t="s">
        <v>81</v>
      </c>
      <c r="R4" s="9" t="s">
        <v>82</v>
      </c>
      <c r="S4" s="9" t="s">
        <v>83</v>
      </c>
      <c r="T4" s="87"/>
      <c r="U4" s="47"/>
    </row>
    <row r="5" spans="1:23" ht="18" customHeight="1">
      <c r="A5" s="57" t="s">
        <v>46</v>
      </c>
      <c r="B5" s="57" t="s">
        <v>41</v>
      </c>
      <c r="C5" s="64"/>
      <c r="D5" s="10" t="s">
        <v>94</v>
      </c>
      <c r="E5" s="11">
        <v>2</v>
      </c>
      <c r="F5" s="11">
        <v>2</v>
      </c>
      <c r="G5" s="11">
        <v>2</v>
      </c>
      <c r="H5" s="11">
        <v>2</v>
      </c>
      <c r="I5" s="11">
        <f t="shared" ref="I5:I7" si="0">SUM(E5:H5)</f>
        <v>8</v>
      </c>
      <c r="J5" s="50">
        <v>10</v>
      </c>
      <c r="K5" s="50">
        <f>SUM(I5:I7)</f>
        <v>24</v>
      </c>
      <c r="L5" s="50">
        <f>J5*K5</f>
        <v>240</v>
      </c>
      <c r="M5" s="50">
        <v>15.4</v>
      </c>
      <c r="N5" s="50">
        <v>14.4</v>
      </c>
      <c r="O5" s="50">
        <f>M5*J5</f>
        <v>154</v>
      </c>
      <c r="P5" s="50">
        <f>N5*J5</f>
        <v>144</v>
      </c>
      <c r="Q5" s="50">
        <v>54</v>
      </c>
      <c r="R5" s="50">
        <v>34</v>
      </c>
      <c r="S5" s="50">
        <v>40</v>
      </c>
      <c r="T5" s="45">
        <f>Q5*R5*S5/1000000</f>
        <v>7.3440000000000005E-2</v>
      </c>
      <c r="U5" s="48">
        <f>T5*J5</f>
        <v>0.73440000000000005</v>
      </c>
    </row>
    <row r="6" spans="1:23" ht="18" customHeight="1">
      <c r="A6" s="61"/>
      <c r="B6" s="61"/>
      <c r="C6" s="65"/>
      <c r="D6" s="10" t="s">
        <v>98</v>
      </c>
      <c r="E6" s="11">
        <v>2</v>
      </c>
      <c r="F6" s="11">
        <v>2</v>
      </c>
      <c r="G6" s="11">
        <v>2</v>
      </c>
      <c r="H6" s="11">
        <v>2</v>
      </c>
      <c r="I6" s="11">
        <f t="shared" si="0"/>
        <v>8</v>
      </c>
      <c r="J6" s="51"/>
      <c r="K6" s="51"/>
      <c r="L6" s="51"/>
      <c r="M6" s="51"/>
      <c r="N6" s="51"/>
      <c r="O6" s="51"/>
      <c r="P6" s="51"/>
      <c r="Q6" s="51"/>
      <c r="R6" s="51"/>
      <c r="S6" s="51"/>
      <c r="T6" s="45"/>
      <c r="U6" s="49"/>
    </row>
    <row r="7" spans="1:23" ht="18" customHeight="1">
      <c r="A7" s="61"/>
      <c r="B7" s="61"/>
      <c r="C7" s="66"/>
      <c r="D7" s="10" t="s">
        <v>96</v>
      </c>
      <c r="E7" s="11">
        <v>2</v>
      </c>
      <c r="F7" s="11">
        <v>2</v>
      </c>
      <c r="G7" s="11">
        <v>2</v>
      </c>
      <c r="H7" s="11">
        <v>2</v>
      </c>
      <c r="I7" s="11">
        <f t="shared" si="0"/>
        <v>8</v>
      </c>
      <c r="J7" s="52"/>
      <c r="K7" s="52"/>
      <c r="L7" s="52"/>
      <c r="M7" s="52"/>
      <c r="N7" s="52"/>
      <c r="O7" s="51"/>
      <c r="P7" s="51"/>
      <c r="Q7" s="52"/>
      <c r="R7" s="52"/>
      <c r="S7" s="52"/>
      <c r="T7" s="45"/>
      <c r="U7" s="49"/>
    </row>
    <row r="8" spans="1:23" ht="18" customHeight="1">
      <c r="A8" s="13" t="s">
        <v>56</v>
      </c>
      <c r="B8" s="13"/>
      <c r="C8" s="13"/>
      <c r="D8" s="13"/>
      <c r="E8" s="13"/>
      <c r="F8" s="13"/>
      <c r="G8" s="13"/>
      <c r="H8" s="13"/>
      <c r="I8" s="20"/>
      <c r="J8" s="20">
        <f>SUM(J5:J7)</f>
        <v>10</v>
      </c>
      <c r="K8" s="20"/>
      <c r="L8" s="20">
        <f>SUM(L5:L7)</f>
        <v>240</v>
      </c>
      <c r="M8" s="20"/>
      <c r="N8" s="20"/>
      <c r="O8" s="20">
        <f>SUM(O5)</f>
        <v>154</v>
      </c>
      <c r="P8" s="20">
        <f>SUM(P5)</f>
        <v>144</v>
      </c>
      <c r="Q8" s="20"/>
      <c r="R8" s="20"/>
      <c r="S8" s="20"/>
      <c r="T8" s="37"/>
      <c r="U8" s="37">
        <f>SUM(U5:U7)</f>
        <v>0.73440000000000005</v>
      </c>
    </row>
    <row r="9" spans="1:23" ht="18" customHeight="1"/>
    <row r="10" spans="1:23" ht="18" customHeight="1">
      <c r="L10" s="12"/>
      <c r="M10" s="12"/>
      <c r="N10" s="12"/>
      <c r="O10" s="12"/>
      <c r="P10" s="12"/>
      <c r="Q10" s="12"/>
      <c r="R10" s="12"/>
      <c r="S10" s="12"/>
      <c r="T10" s="12"/>
      <c r="U10" s="12"/>
    </row>
    <row r="11" spans="1:23" ht="18" customHeight="1">
      <c r="A11" s="113" t="s">
        <v>85</v>
      </c>
      <c r="B11" s="113"/>
      <c r="C11" t="s">
        <v>86</v>
      </c>
      <c r="E11" t="s">
        <v>87</v>
      </c>
      <c r="H11" t="s">
        <v>88</v>
      </c>
      <c r="J11" t="s">
        <v>89</v>
      </c>
      <c r="L11" s="12" t="s">
        <v>90</v>
      </c>
      <c r="M11" s="12"/>
      <c r="N11" s="12" t="s">
        <v>91</v>
      </c>
      <c r="O11" s="12"/>
      <c r="P11" s="12" t="s">
        <v>92</v>
      </c>
      <c r="Q11" s="12"/>
      <c r="R11" s="12"/>
      <c r="S11" s="12"/>
      <c r="T11" s="12"/>
      <c r="U11" s="12"/>
      <c r="V11" s="12"/>
      <c r="W11" s="12"/>
    </row>
    <row r="12" spans="1:23" ht="18" customHeight="1">
      <c r="A12" s="12"/>
      <c r="B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</row>
    <row r="13" spans="1:23" ht="18" customHeight="1">
      <c r="A13" s="12"/>
      <c r="B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</row>
    <row r="14" spans="1:23" ht="18" customHeight="1">
      <c r="A14" s="12"/>
      <c r="B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</row>
    <row r="15" spans="1:23" ht="18" customHeight="1">
      <c r="A15" s="12"/>
      <c r="B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</row>
    <row r="16" spans="1:23" ht="18" customHeight="1">
      <c r="A16" s="12"/>
      <c r="B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</row>
    <row r="17" spans="1:23" ht="18" customHeight="1">
      <c r="A17" s="12"/>
      <c r="B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</row>
    <row r="18" spans="1:23" ht="18" customHeight="1">
      <c r="A18" s="12"/>
      <c r="B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</row>
    <row r="19" spans="1:23" ht="18" customHeight="1">
      <c r="A19" s="12"/>
      <c r="B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</row>
    <row r="20" spans="1:23" ht="18" customHeight="1">
      <c r="A20" s="12"/>
      <c r="B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</row>
    <row r="21" spans="1:23" ht="18" customHeight="1">
      <c r="A21" s="12"/>
      <c r="B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</row>
    <row r="22" spans="1:23" ht="18" customHeight="1">
      <c r="A22" s="12"/>
      <c r="B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</row>
    <row r="23" spans="1:23" ht="18" customHeight="1">
      <c r="A23" s="12"/>
      <c r="B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</row>
    <row r="24" spans="1:23" ht="18" customHeight="1">
      <c r="A24" s="12"/>
      <c r="B24" s="12"/>
      <c r="C24" s="12"/>
      <c r="D24" s="12"/>
      <c r="E24" s="114" t="s">
        <v>79</v>
      </c>
      <c r="F24" s="114"/>
      <c r="G24" s="12"/>
      <c r="H24" s="12"/>
      <c r="I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</row>
    <row r="25" spans="1:23" ht="18" customHeight="1">
      <c r="A25" s="12"/>
      <c r="B25" s="12"/>
      <c r="C25" s="115" t="s">
        <v>93</v>
      </c>
      <c r="D25" s="10" t="s">
        <v>94</v>
      </c>
      <c r="E25" s="55"/>
      <c r="F25" s="56"/>
      <c r="G25" s="12"/>
      <c r="H25" s="12"/>
      <c r="I25" s="12"/>
    </row>
    <row r="26" spans="1:23" ht="18" customHeight="1">
      <c r="C26" s="115"/>
      <c r="D26" s="10" t="s">
        <v>98</v>
      </c>
      <c r="E26" s="55"/>
      <c r="F26" s="56"/>
      <c r="G26" s="12"/>
      <c r="H26" s="12"/>
      <c r="I26" s="12"/>
    </row>
    <row r="27" spans="1:23" ht="18" customHeight="1">
      <c r="C27" s="115"/>
      <c r="D27" s="10" t="s">
        <v>96</v>
      </c>
      <c r="E27" s="55">
        <v>1</v>
      </c>
      <c r="F27" s="56"/>
      <c r="G27" s="12"/>
      <c r="H27" s="12"/>
      <c r="I27" s="12"/>
    </row>
    <row r="28" spans="1:23" ht="18" customHeight="1">
      <c r="C28" s="12"/>
      <c r="D28" s="12"/>
      <c r="E28" s="12"/>
      <c r="F28" s="12"/>
      <c r="G28" s="12"/>
      <c r="H28" s="12"/>
      <c r="I28" s="12"/>
    </row>
    <row r="29" spans="1:23" ht="18" customHeight="1"/>
    <row r="30" spans="1:23" ht="18" customHeight="1"/>
    <row r="31" spans="1:23" ht="18" customHeight="1"/>
    <row r="32" spans="1:23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</sheetData>
  <mergeCells count="40">
    <mergeCell ref="A1:U1"/>
    <mergeCell ref="E2:H2"/>
    <mergeCell ref="Q2:S2"/>
    <mergeCell ref="E3:H3"/>
    <mergeCell ref="Q3:S3"/>
    <mergeCell ref="A3:A4"/>
    <mergeCell ref="D3:D4"/>
    <mergeCell ref="I3:I4"/>
    <mergeCell ref="J3:J4"/>
    <mergeCell ref="L3:L4"/>
    <mergeCell ref="N3:N4"/>
    <mergeCell ref="T3:T4"/>
    <mergeCell ref="A11:B11"/>
    <mergeCell ref="E24:F24"/>
    <mergeCell ref="E25:F25"/>
    <mergeCell ref="E26:F26"/>
    <mergeCell ref="E27:F27"/>
    <mergeCell ref="C25:C27"/>
    <mergeCell ref="A5:A7"/>
    <mergeCell ref="B3:B4"/>
    <mergeCell ref="B5:B7"/>
    <mergeCell ref="C3:C4"/>
    <mergeCell ref="C5:C7"/>
    <mergeCell ref="J5:J7"/>
    <mergeCell ref="K3:K4"/>
    <mergeCell ref="K5:K7"/>
    <mergeCell ref="L5:L7"/>
    <mergeCell ref="M3:M4"/>
    <mergeCell ref="M5:M7"/>
    <mergeCell ref="N5:N7"/>
    <mergeCell ref="O3:O4"/>
    <mergeCell ref="O5:O7"/>
    <mergeCell ref="P3:P4"/>
    <mergeCell ref="P5:P7"/>
    <mergeCell ref="T5:T7"/>
    <mergeCell ref="U3:U4"/>
    <mergeCell ref="U5:U7"/>
    <mergeCell ref="Q5:Q7"/>
    <mergeCell ref="R5:R7"/>
    <mergeCell ref="S5:S7"/>
  </mergeCells>
  <phoneticPr fontId="12" type="noConversion"/>
  <pageMargins left="0.70866141732283505" right="0.70866141732283505" top="0.74803149606299202" bottom="0.74803149606299202" header="0.31496062992126" footer="0.31496062992126"/>
  <pageSetup paperSize="9" scale="7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V43"/>
  <sheetViews>
    <sheetView zoomScale="85" zoomScaleNormal="85" workbookViewId="0">
      <selection activeCell="I10" sqref="I10"/>
    </sheetView>
  </sheetViews>
  <sheetFormatPr baseColWidth="10" defaultColWidth="9" defaultRowHeight="14.6"/>
  <cols>
    <col min="1" max="1" width="15.69140625" customWidth="1"/>
    <col min="2" max="2" width="14.15234375" customWidth="1"/>
    <col min="4" max="4" width="12.61328125" customWidth="1"/>
    <col min="5" max="8" width="6.61328125" customWidth="1"/>
    <col min="17" max="19" width="4.61328125" customWidth="1"/>
    <col min="20" max="20" width="13.61328125" customWidth="1"/>
    <col min="21" max="21" width="14.15234375"/>
  </cols>
  <sheetData>
    <row r="1" spans="1:21" ht="22.75">
      <c r="A1" s="104" t="s">
        <v>97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</row>
    <row r="2" spans="1:21" ht="18" customHeight="1">
      <c r="A2" s="1" t="s">
        <v>9</v>
      </c>
      <c r="B2" s="1" t="s">
        <v>4</v>
      </c>
      <c r="C2" s="2" t="s">
        <v>10</v>
      </c>
      <c r="D2" s="3" t="s">
        <v>58</v>
      </c>
      <c r="E2" s="76" t="s">
        <v>59</v>
      </c>
      <c r="F2" s="77"/>
      <c r="G2" s="77"/>
      <c r="H2" s="78"/>
      <c r="I2" s="4" t="s">
        <v>60</v>
      </c>
      <c r="J2" s="5" t="s">
        <v>61</v>
      </c>
      <c r="K2" s="6" t="s">
        <v>62</v>
      </c>
      <c r="L2" s="6" t="s">
        <v>63</v>
      </c>
      <c r="M2" s="1" t="s">
        <v>14</v>
      </c>
      <c r="N2" s="1" t="s">
        <v>15</v>
      </c>
      <c r="O2" s="1" t="s">
        <v>16</v>
      </c>
      <c r="P2" s="1" t="s">
        <v>17</v>
      </c>
      <c r="Q2" s="79" t="s">
        <v>18</v>
      </c>
      <c r="R2" s="80"/>
      <c r="S2" s="81"/>
      <c r="T2" s="7" t="s">
        <v>19</v>
      </c>
      <c r="U2" s="8" t="s">
        <v>20</v>
      </c>
    </row>
    <row r="3" spans="1:21" ht="18" customHeight="1">
      <c r="A3" s="57" t="s">
        <v>64</v>
      </c>
      <c r="B3" s="53" t="s">
        <v>65</v>
      </c>
      <c r="C3" s="62" t="s">
        <v>66</v>
      </c>
      <c r="D3" s="68" t="s">
        <v>67</v>
      </c>
      <c r="E3" s="82" t="s">
        <v>68</v>
      </c>
      <c r="F3" s="83"/>
      <c r="G3" s="83"/>
      <c r="H3" s="84"/>
      <c r="I3" s="57" t="s">
        <v>69</v>
      </c>
      <c r="J3" s="57" t="s">
        <v>70</v>
      </c>
      <c r="K3" s="53" t="s">
        <v>71</v>
      </c>
      <c r="L3" s="57" t="s">
        <v>72</v>
      </c>
      <c r="M3" s="53" t="s">
        <v>32</v>
      </c>
      <c r="N3" s="53" t="s">
        <v>33</v>
      </c>
      <c r="O3" s="53" t="s">
        <v>73</v>
      </c>
      <c r="P3" s="53" t="s">
        <v>74</v>
      </c>
      <c r="Q3" s="79" t="s">
        <v>75</v>
      </c>
      <c r="R3" s="80"/>
      <c r="S3" s="112"/>
      <c r="T3" s="87" t="s">
        <v>76</v>
      </c>
      <c r="U3" s="46" t="s">
        <v>38</v>
      </c>
    </row>
    <row r="4" spans="1:21" ht="18" customHeight="1">
      <c r="A4" s="58"/>
      <c r="B4" s="54"/>
      <c r="C4" s="63"/>
      <c r="D4" s="69"/>
      <c r="E4" s="2" t="s">
        <v>77</v>
      </c>
      <c r="F4" s="2" t="s">
        <v>78</v>
      </c>
      <c r="G4" s="2" t="s">
        <v>79</v>
      </c>
      <c r="H4" s="2" t="s">
        <v>80</v>
      </c>
      <c r="I4" s="58"/>
      <c r="J4" s="58"/>
      <c r="K4" s="54"/>
      <c r="L4" s="58"/>
      <c r="M4" s="54"/>
      <c r="N4" s="54"/>
      <c r="O4" s="54"/>
      <c r="P4" s="54"/>
      <c r="Q4" s="9" t="s">
        <v>81</v>
      </c>
      <c r="R4" s="9" t="s">
        <v>82</v>
      </c>
      <c r="S4" s="9" t="s">
        <v>83</v>
      </c>
      <c r="T4" s="87"/>
      <c r="U4" s="47"/>
    </row>
    <row r="5" spans="1:21" ht="18" customHeight="1">
      <c r="A5" s="57" t="s">
        <v>47</v>
      </c>
      <c r="B5" s="57" t="s">
        <v>41</v>
      </c>
      <c r="C5" s="64"/>
      <c r="D5" s="10" t="s">
        <v>94</v>
      </c>
      <c r="E5" s="11">
        <v>2</v>
      </c>
      <c r="F5" s="11">
        <v>2</v>
      </c>
      <c r="G5" s="11">
        <v>2</v>
      </c>
      <c r="H5" s="11">
        <v>2</v>
      </c>
      <c r="I5" s="11">
        <f t="shared" ref="I5:I13" si="0">SUM(E5:H5)</f>
        <v>8</v>
      </c>
      <c r="J5" s="50">
        <v>7</v>
      </c>
      <c r="K5" s="50">
        <f>SUM(I5:I7)</f>
        <v>24</v>
      </c>
      <c r="L5" s="50">
        <f>J5*K5</f>
        <v>168</v>
      </c>
      <c r="M5" s="50">
        <v>15.4</v>
      </c>
      <c r="N5" s="50">
        <v>14.4</v>
      </c>
      <c r="O5" s="50">
        <f>J5*M5+M11</f>
        <v>122</v>
      </c>
      <c r="P5" s="50">
        <f>J5*N5+N11</f>
        <v>114</v>
      </c>
      <c r="Q5" s="50">
        <v>54</v>
      </c>
      <c r="R5" s="50">
        <v>34</v>
      </c>
      <c r="S5" s="50">
        <v>45</v>
      </c>
      <c r="T5" s="45">
        <f>Q5*R5*S5/1000000</f>
        <v>8.2619999999999999E-2</v>
      </c>
      <c r="U5" s="48">
        <f>Q5*R5*S5/1000000*J5+Q8*R8*S8/1000000*J8+Q11*R11*S11/1000000*J11</f>
        <v>0.81701999999999986</v>
      </c>
    </row>
    <row r="6" spans="1:21" ht="18" customHeight="1">
      <c r="A6" s="61"/>
      <c r="B6" s="61"/>
      <c r="C6" s="65"/>
      <c r="D6" s="10" t="s">
        <v>99</v>
      </c>
      <c r="E6" s="11">
        <v>2</v>
      </c>
      <c r="F6" s="11">
        <v>2</v>
      </c>
      <c r="G6" s="11">
        <v>2</v>
      </c>
      <c r="H6" s="11">
        <v>2</v>
      </c>
      <c r="I6" s="11">
        <f t="shared" si="0"/>
        <v>8</v>
      </c>
      <c r="J6" s="51"/>
      <c r="K6" s="51"/>
      <c r="L6" s="51"/>
      <c r="M6" s="51"/>
      <c r="N6" s="51"/>
      <c r="O6" s="51"/>
      <c r="P6" s="51"/>
      <c r="Q6" s="51"/>
      <c r="R6" s="51"/>
      <c r="S6" s="51"/>
      <c r="T6" s="45"/>
      <c r="U6" s="49"/>
    </row>
    <row r="7" spans="1:21" ht="18" customHeight="1">
      <c r="A7" s="61"/>
      <c r="B7" s="61"/>
      <c r="C7" s="66"/>
      <c r="D7" s="10" t="s">
        <v>100</v>
      </c>
      <c r="E7" s="11">
        <v>2</v>
      </c>
      <c r="F7" s="11">
        <v>2</v>
      </c>
      <c r="G7" s="11">
        <v>2</v>
      </c>
      <c r="H7" s="11">
        <v>2</v>
      </c>
      <c r="I7" s="11">
        <f t="shared" si="0"/>
        <v>8</v>
      </c>
      <c r="J7" s="52"/>
      <c r="K7" s="52"/>
      <c r="L7" s="52"/>
      <c r="M7" s="52"/>
      <c r="N7" s="52"/>
      <c r="O7" s="51"/>
      <c r="P7" s="51"/>
      <c r="Q7" s="52"/>
      <c r="R7" s="52"/>
      <c r="S7" s="52"/>
      <c r="T7" s="45"/>
      <c r="U7" s="49"/>
    </row>
    <row r="8" spans="1:21" ht="18" customHeight="1">
      <c r="A8" s="61"/>
      <c r="B8" s="61"/>
      <c r="C8" s="64"/>
      <c r="D8" s="10" t="s">
        <v>94</v>
      </c>
      <c r="E8" s="11">
        <v>3</v>
      </c>
      <c r="F8" s="11">
        <v>3</v>
      </c>
      <c r="G8" s="11">
        <v>3</v>
      </c>
      <c r="H8" s="11">
        <v>3</v>
      </c>
      <c r="I8" s="11">
        <f t="shared" si="0"/>
        <v>12</v>
      </c>
      <c r="J8" s="50">
        <v>2</v>
      </c>
      <c r="K8" s="50">
        <f>SUM(I8:I10)</f>
        <v>24</v>
      </c>
      <c r="L8" s="50">
        <f>J8*K8</f>
        <v>48</v>
      </c>
      <c r="M8" s="50">
        <v>15.4</v>
      </c>
      <c r="N8" s="50">
        <v>14.4</v>
      </c>
      <c r="O8" s="51"/>
      <c r="P8" s="51"/>
      <c r="Q8" s="50">
        <v>54</v>
      </c>
      <c r="R8" s="50">
        <v>34</v>
      </c>
      <c r="S8" s="50">
        <v>45</v>
      </c>
      <c r="T8" s="45">
        <f>Q8*R8*S8/1000000</f>
        <v>8.2619999999999999E-2</v>
      </c>
      <c r="U8" s="49"/>
    </row>
    <row r="9" spans="1:21" ht="18" customHeight="1">
      <c r="A9" s="61"/>
      <c r="B9" s="61"/>
      <c r="C9" s="65"/>
      <c r="D9" s="10" t="s">
        <v>99</v>
      </c>
      <c r="E9" s="11">
        <v>3</v>
      </c>
      <c r="F9" s="11">
        <v>3</v>
      </c>
      <c r="G9" s="11">
        <v>3</v>
      </c>
      <c r="H9" s="11">
        <v>3</v>
      </c>
      <c r="I9" s="11">
        <f t="shared" si="0"/>
        <v>12</v>
      </c>
      <c r="J9" s="51"/>
      <c r="K9" s="51"/>
      <c r="L9" s="51"/>
      <c r="M9" s="51"/>
      <c r="N9" s="51"/>
      <c r="O9" s="51"/>
      <c r="P9" s="51"/>
      <c r="Q9" s="51"/>
      <c r="R9" s="51"/>
      <c r="S9" s="51"/>
      <c r="T9" s="45"/>
      <c r="U9" s="49"/>
    </row>
    <row r="10" spans="1:21" ht="18" customHeight="1">
      <c r="A10" s="61"/>
      <c r="B10" s="61"/>
      <c r="C10" s="66"/>
      <c r="D10" s="10" t="s">
        <v>100</v>
      </c>
      <c r="E10" s="11"/>
      <c r="F10" s="11"/>
      <c r="G10" s="11"/>
      <c r="H10" s="11"/>
      <c r="I10" s="11"/>
      <c r="J10" s="52"/>
      <c r="K10" s="52"/>
      <c r="L10" s="52"/>
      <c r="M10" s="52"/>
      <c r="N10" s="52"/>
      <c r="O10" s="51"/>
      <c r="P10" s="51"/>
      <c r="Q10" s="52"/>
      <c r="R10" s="52"/>
      <c r="S10" s="52"/>
      <c r="T10" s="45"/>
      <c r="U10" s="49"/>
    </row>
    <row r="11" spans="1:21" ht="18" customHeight="1">
      <c r="A11" s="61"/>
      <c r="B11" s="61"/>
      <c r="C11" s="50"/>
      <c r="D11" s="10" t="s">
        <v>94</v>
      </c>
      <c r="E11" s="11">
        <v>3</v>
      </c>
      <c r="F11" s="11">
        <v>2</v>
      </c>
      <c r="G11" s="11">
        <v>2</v>
      </c>
      <c r="H11" s="11">
        <v>2</v>
      </c>
      <c r="I11" s="11">
        <f t="shared" si="0"/>
        <v>9</v>
      </c>
      <c r="J11" s="50">
        <v>1</v>
      </c>
      <c r="K11" s="50">
        <f>SUM(I11:I13)</f>
        <v>20</v>
      </c>
      <c r="L11" s="50">
        <f>J11*K11</f>
        <v>20</v>
      </c>
      <c r="M11" s="50">
        <v>14.2</v>
      </c>
      <c r="N11" s="50">
        <v>13.2</v>
      </c>
      <c r="O11" s="51"/>
      <c r="P11" s="51"/>
      <c r="Q11" s="50">
        <v>54</v>
      </c>
      <c r="R11" s="50">
        <v>34</v>
      </c>
      <c r="S11" s="50">
        <v>40</v>
      </c>
      <c r="T11" s="45">
        <f>Q11*R11*S11/1000000</f>
        <v>7.3440000000000005E-2</v>
      </c>
      <c r="U11" s="49"/>
    </row>
    <row r="12" spans="1:21" ht="18" customHeight="1">
      <c r="A12" s="61"/>
      <c r="B12" s="61"/>
      <c r="C12" s="51"/>
      <c r="D12" s="10" t="s">
        <v>99</v>
      </c>
      <c r="E12" s="11">
        <v>1</v>
      </c>
      <c r="F12" s="11">
        <v>1</v>
      </c>
      <c r="G12" s="11">
        <v>2</v>
      </c>
      <c r="H12" s="11">
        <v>1</v>
      </c>
      <c r="I12" s="11">
        <f t="shared" si="0"/>
        <v>5</v>
      </c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45"/>
      <c r="U12" s="49"/>
    </row>
    <row r="13" spans="1:21" ht="18" customHeight="1">
      <c r="A13" s="58"/>
      <c r="B13" s="58"/>
      <c r="C13" s="66"/>
      <c r="D13" s="10" t="s">
        <v>100</v>
      </c>
      <c r="E13" s="11">
        <v>2</v>
      </c>
      <c r="F13" s="11">
        <v>1</v>
      </c>
      <c r="G13" s="11">
        <v>2</v>
      </c>
      <c r="H13" s="11">
        <v>1</v>
      </c>
      <c r="I13" s="11">
        <f t="shared" si="0"/>
        <v>6</v>
      </c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45"/>
      <c r="U13" s="108"/>
    </row>
    <row r="14" spans="1:21" ht="18" customHeight="1">
      <c r="A14" s="13" t="s">
        <v>56</v>
      </c>
      <c r="B14" s="13"/>
      <c r="C14" s="13"/>
      <c r="D14" s="13"/>
      <c r="E14" s="13"/>
      <c r="F14" s="13"/>
      <c r="G14" s="13"/>
      <c r="H14" s="13"/>
      <c r="I14" s="20"/>
      <c r="J14" s="20">
        <f>SUM(J5:J13)</f>
        <v>10</v>
      </c>
      <c r="K14" s="20"/>
      <c r="L14" s="20">
        <f>SUM(L5:L13)</f>
        <v>236</v>
      </c>
      <c r="M14" s="20"/>
      <c r="N14" s="20"/>
      <c r="O14" s="20">
        <f>SUM(O5:O13)</f>
        <v>122</v>
      </c>
      <c r="P14" s="20">
        <f>SUM(P5:P13)</f>
        <v>114</v>
      </c>
      <c r="Q14" s="20"/>
      <c r="R14" s="20"/>
      <c r="S14" s="20"/>
      <c r="T14" s="37"/>
      <c r="U14" s="37">
        <f>SUM(U5:U13)</f>
        <v>0.81701999999999986</v>
      </c>
    </row>
    <row r="15" spans="1:21" ht="18" customHeight="1"/>
    <row r="16" spans="1:21" ht="18" customHeight="1"/>
    <row r="17" spans="1:22" ht="18" customHeight="1">
      <c r="A17" s="73" t="s">
        <v>85</v>
      </c>
      <c r="B17" s="73"/>
      <c r="C17" t="s">
        <v>86</v>
      </c>
      <c r="E17" t="s">
        <v>87</v>
      </c>
      <c r="H17" t="s">
        <v>88</v>
      </c>
      <c r="J17" t="s">
        <v>89</v>
      </c>
      <c r="L17" t="s">
        <v>90</v>
      </c>
      <c r="N17" t="s">
        <v>91</v>
      </c>
      <c r="P17" t="s">
        <v>92</v>
      </c>
      <c r="U17" s="12"/>
      <c r="V17" s="12"/>
    </row>
    <row r="18" spans="1:22" ht="18" customHeight="1">
      <c r="A18" s="12"/>
      <c r="B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</row>
    <row r="19" spans="1:22" ht="18" customHeight="1">
      <c r="A19" s="12"/>
      <c r="B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</row>
    <row r="20" spans="1:22" ht="18" customHeight="1">
      <c r="A20" s="12"/>
      <c r="B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</row>
    <row r="21" spans="1:22" ht="18" customHeight="1">
      <c r="A21" s="12"/>
      <c r="B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</row>
    <row r="22" spans="1:22" ht="18" customHeight="1">
      <c r="A22" s="12"/>
      <c r="B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  <row r="23" spans="1:22" ht="18" customHeight="1">
      <c r="A23" s="12"/>
      <c r="B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</row>
    <row r="24" spans="1:22" ht="18" customHeight="1">
      <c r="A24" s="12"/>
      <c r="B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</row>
    <row r="25" spans="1:22" ht="18" customHeight="1">
      <c r="A25" s="12"/>
      <c r="B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</row>
    <row r="26" spans="1:22" ht="18" customHeight="1">
      <c r="B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</row>
    <row r="27" spans="1:22" ht="18" customHeight="1">
      <c r="B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</row>
    <row r="28" spans="1:22" ht="18" customHeight="1">
      <c r="B28" s="12"/>
      <c r="L28" s="12"/>
      <c r="U28" s="12"/>
      <c r="V28" s="12"/>
    </row>
    <row r="29" spans="1:22" ht="18" customHeight="1">
      <c r="L29" s="12"/>
      <c r="U29" s="12"/>
      <c r="V29" s="12"/>
    </row>
    <row r="30" spans="1:22" ht="18" customHeight="1">
      <c r="E30" s="74" t="s">
        <v>79</v>
      </c>
      <c r="F30" s="74"/>
      <c r="L30" s="12"/>
    </row>
    <row r="31" spans="1:22" ht="18" customHeight="1">
      <c r="C31" s="109" t="s">
        <v>93</v>
      </c>
      <c r="D31" s="10" t="s">
        <v>94</v>
      </c>
      <c r="E31" s="55"/>
      <c r="F31" s="56"/>
    </row>
    <row r="32" spans="1:22" ht="18" customHeight="1">
      <c r="C32" s="110"/>
      <c r="D32" s="10" t="s">
        <v>99</v>
      </c>
      <c r="E32" s="55"/>
      <c r="F32" s="56"/>
    </row>
    <row r="33" spans="3:6" ht="18" customHeight="1">
      <c r="C33" s="111"/>
      <c r="D33" s="10" t="s">
        <v>100</v>
      </c>
      <c r="E33" s="55">
        <v>1</v>
      </c>
      <c r="F33" s="56"/>
    </row>
    <row r="34" spans="3:6" ht="18" customHeight="1"/>
    <row r="35" spans="3:6" ht="18" customHeight="1"/>
    <row r="36" spans="3:6" ht="18" customHeight="1"/>
    <row r="37" spans="3:6" ht="18" customHeight="1"/>
    <row r="38" spans="3:6" ht="18" customHeight="1"/>
    <row r="39" spans="3:6" ht="18" customHeight="1"/>
    <row r="40" spans="3:6" ht="18" customHeight="1"/>
    <row r="41" spans="3:6" ht="18" customHeight="1"/>
    <row r="42" spans="3:6" ht="18" customHeight="1"/>
    <row r="43" spans="3:6" ht="18" customHeight="1"/>
  </sheetData>
  <mergeCells count="60">
    <mergeCell ref="A1:U1"/>
    <mergeCell ref="E2:H2"/>
    <mergeCell ref="Q2:S2"/>
    <mergeCell ref="E3:H3"/>
    <mergeCell ref="Q3:S3"/>
    <mergeCell ref="A3:A4"/>
    <mergeCell ref="D3:D4"/>
    <mergeCell ref="I3:I4"/>
    <mergeCell ref="J3:J4"/>
    <mergeCell ref="L3:L4"/>
    <mergeCell ref="N3:N4"/>
    <mergeCell ref="P3:P4"/>
    <mergeCell ref="U3:U4"/>
    <mergeCell ref="A17:B17"/>
    <mergeCell ref="E30:F30"/>
    <mergeCell ref="E31:F31"/>
    <mergeCell ref="E32:F32"/>
    <mergeCell ref="E33:F33"/>
    <mergeCell ref="C31:C33"/>
    <mergeCell ref="A5:A13"/>
    <mergeCell ref="B3:B4"/>
    <mergeCell ref="B5:B13"/>
    <mergeCell ref="C3:C4"/>
    <mergeCell ref="C5:C7"/>
    <mergeCell ref="C8:C10"/>
    <mergeCell ref="C11:C13"/>
    <mergeCell ref="J5:J7"/>
    <mergeCell ref="J8:J10"/>
    <mergeCell ref="J11:J13"/>
    <mergeCell ref="K3:K4"/>
    <mergeCell ref="K5:K7"/>
    <mergeCell ref="K8:K10"/>
    <mergeCell ref="K11:K13"/>
    <mergeCell ref="L5:L7"/>
    <mergeCell ref="L8:L10"/>
    <mergeCell ref="L11:L13"/>
    <mergeCell ref="M3:M4"/>
    <mergeCell ref="M5:M7"/>
    <mergeCell ref="M8:M10"/>
    <mergeCell ref="M11:M13"/>
    <mergeCell ref="N5:N7"/>
    <mergeCell ref="N8:N10"/>
    <mergeCell ref="N11:N13"/>
    <mergeCell ref="O3:O4"/>
    <mergeCell ref="O5:O13"/>
    <mergeCell ref="P5:P13"/>
    <mergeCell ref="Q5:Q7"/>
    <mergeCell ref="Q8:Q10"/>
    <mergeCell ref="Q11:Q13"/>
    <mergeCell ref="R5:R7"/>
    <mergeCell ref="R8:R10"/>
    <mergeCell ref="R11:R13"/>
    <mergeCell ref="U5:U13"/>
    <mergeCell ref="S5:S7"/>
    <mergeCell ref="S8:S10"/>
    <mergeCell ref="S11:S13"/>
    <mergeCell ref="T3:T4"/>
    <mergeCell ref="T5:T7"/>
    <mergeCell ref="T8:T10"/>
    <mergeCell ref="T11:T13"/>
  </mergeCells>
  <phoneticPr fontId="12" type="noConversion"/>
  <pageMargins left="0.70866141732283505" right="0.70866141732283505" top="0.74803149606299202" bottom="0.74803149606299202" header="0.31496062992126" footer="0.31496062992126"/>
  <pageSetup paperSize="9" scale="76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V40"/>
  <sheetViews>
    <sheetView zoomScale="85" zoomScaleNormal="85" workbookViewId="0">
      <selection activeCell="T5" sqref="T5:U11"/>
    </sheetView>
  </sheetViews>
  <sheetFormatPr baseColWidth="10" defaultColWidth="9" defaultRowHeight="14.6"/>
  <cols>
    <col min="1" max="1" width="15.3828125" customWidth="1"/>
    <col min="2" max="2" width="16" customWidth="1"/>
    <col min="4" max="4" width="12.61328125" customWidth="1"/>
    <col min="5" max="8" width="6.61328125" customWidth="1"/>
    <col min="17" max="19" width="4.61328125" customWidth="1"/>
    <col min="20" max="20" width="13.15234375" customWidth="1"/>
    <col min="21" max="21" width="11.23046875" customWidth="1"/>
  </cols>
  <sheetData>
    <row r="1" spans="1:22" ht="22.75">
      <c r="A1" s="105" t="s">
        <v>101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</row>
    <row r="2" spans="1:22" ht="18" customHeight="1">
      <c r="A2" s="1" t="s">
        <v>9</v>
      </c>
      <c r="B2" s="1" t="s">
        <v>4</v>
      </c>
      <c r="C2" s="2" t="s">
        <v>10</v>
      </c>
      <c r="D2" s="3" t="s">
        <v>58</v>
      </c>
      <c r="E2" s="76" t="s">
        <v>59</v>
      </c>
      <c r="F2" s="77"/>
      <c r="G2" s="77"/>
      <c r="H2" s="78"/>
      <c r="I2" s="4" t="s">
        <v>60</v>
      </c>
      <c r="J2" s="5" t="s">
        <v>61</v>
      </c>
      <c r="K2" s="6" t="s">
        <v>62</v>
      </c>
      <c r="L2" s="6" t="s">
        <v>63</v>
      </c>
      <c r="M2" s="1" t="s">
        <v>14</v>
      </c>
      <c r="N2" s="1" t="s">
        <v>15</v>
      </c>
      <c r="O2" s="1" t="s">
        <v>16</v>
      </c>
      <c r="P2" s="1" t="s">
        <v>17</v>
      </c>
      <c r="Q2" s="79" t="s">
        <v>18</v>
      </c>
      <c r="R2" s="80"/>
      <c r="S2" s="81"/>
      <c r="T2" s="7" t="s">
        <v>19</v>
      </c>
      <c r="U2" s="8" t="s">
        <v>20</v>
      </c>
    </row>
    <row r="3" spans="1:22" ht="18" customHeight="1">
      <c r="A3" s="57" t="s">
        <v>64</v>
      </c>
      <c r="B3" s="53" t="s">
        <v>65</v>
      </c>
      <c r="C3" s="62" t="s">
        <v>66</v>
      </c>
      <c r="D3" s="68" t="s">
        <v>67</v>
      </c>
      <c r="E3" s="82" t="s">
        <v>68</v>
      </c>
      <c r="F3" s="83"/>
      <c r="G3" s="83"/>
      <c r="H3" s="84"/>
      <c r="I3" s="57" t="s">
        <v>69</v>
      </c>
      <c r="J3" s="57" t="s">
        <v>70</v>
      </c>
      <c r="K3" s="53" t="s">
        <v>71</v>
      </c>
      <c r="L3" s="57" t="s">
        <v>72</v>
      </c>
      <c r="M3" s="53" t="s">
        <v>32</v>
      </c>
      <c r="N3" s="53" t="s">
        <v>33</v>
      </c>
      <c r="O3" s="53" t="s">
        <v>73</v>
      </c>
      <c r="P3" s="53" t="s">
        <v>74</v>
      </c>
      <c r="Q3" s="79" t="s">
        <v>75</v>
      </c>
      <c r="R3" s="80"/>
      <c r="S3" s="112"/>
      <c r="T3" s="87" t="s">
        <v>76</v>
      </c>
      <c r="U3" s="46" t="s">
        <v>38</v>
      </c>
    </row>
    <row r="4" spans="1:22" ht="18" customHeight="1">
      <c r="A4" s="58"/>
      <c r="B4" s="54"/>
      <c r="C4" s="63"/>
      <c r="D4" s="69"/>
      <c r="E4" s="2" t="s">
        <v>77</v>
      </c>
      <c r="F4" s="2" t="s">
        <v>78</v>
      </c>
      <c r="G4" s="2" t="s">
        <v>79</v>
      </c>
      <c r="H4" s="2" t="s">
        <v>80</v>
      </c>
      <c r="I4" s="58"/>
      <c r="J4" s="58"/>
      <c r="K4" s="54"/>
      <c r="L4" s="58"/>
      <c r="M4" s="54"/>
      <c r="N4" s="54"/>
      <c r="O4" s="54"/>
      <c r="P4" s="54"/>
      <c r="Q4" s="9" t="s">
        <v>81</v>
      </c>
      <c r="R4" s="9" t="s">
        <v>82</v>
      </c>
      <c r="S4" s="9" t="s">
        <v>83</v>
      </c>
      <c r="T4" s="87"/>
      <c r="U4" s="47"/>
    </row>
    <row r="5" spans="1:22" ht="18" customHeight="1">
      <c r="A5" s="57" t="s">
        <v>48</v>
      </c>
      <c r="B5" s="57" t="s">
        <v>41</v>
      </c>
      <c r="C5" s="64"/>
      <c r="D5" s="10" t="s">
        <v>94</v>
      </c>
      <c r="E5" s="11">
        <v>2</v>
      </c>
      <c r="F5" s="11">
        <v>2</v>
      </c>
      <c r="G5" s="11">
        <v>2</v>
      </c>
      <c r="H5" s="11">
        <v>2</v>
      </c>
      <c r="I5" s="11">
        <f t="shared" ref="I5:I10" si="0">SUM(E5:H5)</f>
        <v>8</v>
      </c>
      <c r="J5" s="50">
        <v>5</v>
      </c>
      <c r="K5" s="50">
        <f>SUM(I5:I7)</f>
        <v>24</v>
      </c>
      <c r="L5" s="50">
        <f>J5*K5</f>
        <v>120</v>
      </c>
      <c r="M5" s="50">
        <v>15.4</v>
      </c>
      <c r="N5" s="50">
        <v>14.4</v>
      </c>
      <c r="O5" s="50">
        <f>J5*M5+M8</f>
        <v>98.4</v>
      </c>
      <c r="P5" s="50">
        <f>J5*N5+N8</f>
        <v>92.4</v>
      </c>
      <c r="Q5" s="50">
        <v>54</v>
      </c>
      <c r="R5" s="50">
        <v>34</v>
      </c>
      <c r="S5" s="50">
        <v>40</v>
      </c>
      <c r="T5" s="45">
        <f>Q5*R5*S5/1000000</f>
        <v>7.3440000000000005E-2</v>
      </c>
      <c r="U5" s="48">
        <f>Q5*R5*S5/1000000*J5+Q8*R8*S8/1000000*J8</f>
        <v>0.46818000000000004</v>
      </c>
    </row>
    <row r="6" spans="1:22" ht="18" customHeight="1">
      <c r="A6" s="61"/>
      <c r="B6" s="61"/>
      <c r="C6" s="65"/>
      <c r="D6" s="10" t="s">
        <v>99</v>
      </c>
      <c r="E6" s="11">
        <v>2</v>
      </c>
      <c r="F6" s="11">
        <v>2</v>
      </c>
      <c r="G6" s="11">
        <v>2</v>
      </c>
      <c r="H6" s="11">
        <v>2</v>
      </c>
      <c r="I6" s="11">
        <f t="shared" si="0"/>
        <v>8</v>
      </c>
      <c r="J6" s="51"/>
      <c r="K6" s="51"/>
      <c r="L6" s="51"/>
      <c r="M6" s="51"/>
      <c r="N6" s="51"/>
      <c r="O6" s="51"/>
      <c r="P6" s="51"/>
      <c r="Q6" s="51"/>
      <c r="R6" s="51"/>
      <c r="S6" s="51"/>
      <c r="T6" s="45"/>
      <c r="U6" s="49"/>
    </row>
    <row r="7" spans="1:22" ht="18" customHeight="1">
      <c r="A7" s="61"/>
      <c r="B7" s="61"/>
      <c r="C7" s="66"/>
      <c r="D7" s="10" t="s">
        <v>95</v>
      </c>
      <c r="E7" s="11">
        <v>2</v>
      </c>
      <c r="F7" s="11">
        <v>2</v>
      </c>
      <c r="G7" s="11">
        <v>2</v>
      </c>
      <c r="H7" s="11">
        <v>2</v>
      </c>
      <c r="I7" s="11">
        <f t="shared" si="0"/>
        <v>8</v>
      </c>
      <c r="J7" s="52"/>
      <c r="K7" s="52"/>
      <c r="L7" s="52"/>
      <c r="M7" s="52"/>
      <c r="N7" s="52"/>
      <c r="O7" s="51"/>
      <c r="P7" s="51"/>
      <c r="Q7" s="52"/>
      <c r="R7" s="52"/>
      <c r="S7" s="52"/>
      <c r="T7" s="45"/>
      <c r="U7" s="49"/>
    </row>
    <row r="8" spans="1:22" ht="18" customHeight="1">
      <c r="A8" s="61"/>
      <c r="B8" s="61"/>
      <c r="C8" s="50"/>
      <c r="D8" s="10" t="s">
        <v>94</v>
      </c>
      <c r="E8" s="11">
        <v>3</v>
      </c>
      <c r="F8" s="11">
        <v>3</v>
      </c>
      <c r="G8" s="11">
        <v>1</v>
      </c>
      <c r="H8" s="11">
        <v>3</v>
      </c>
      <c r="I8" s="11">
        <f t="shared" si="0"/>
        <v>10</v>
      </c>
      <c r="J8" s="50">
        <v>1</v>
      </c>
      <c r="K8" s="50">
        <f>SUM(I8:I10)</f>
        <v>34</v>
      </c>
      <c r="L8" s="50">
        <f>J8*K8</f>
        <v>34</v>
      </c>
      <c r="M8" s="50">
        <v>21.4</v>
      </c>
      <c r="N8" s="50">
        <v>20.399999999999999</v>
      </c>
      <c r="O8" s="51"/>
      <c r="P8" s="51"/>
      <c r="Q8" s="50">
        <v>54</v>
      </c>
      <c r="R8" s="50">
        <v>34</v>
      </c>
      <c r="S8" s="50">
        <v>55</v>
      </c>
      <c r="T8" s="45">
        <f>Q8*R8*S8/1000000</f>
        <v>0.10098</v>
      </c>
      <c r="U8" s="49"/>
    </row>
    <row r="9" spans="1:22" ht="18" customHeight="1">
      <c r="A9" s="61"/>
      <c r="B9" s="61"/>
      <c r="C9" s="65"/>
      <c r="D9" s="10" t="s">
        <v>99</v>
      </c>
      <c r="E9" s="11">
        <v>2</v>
      </c>
      <c r="F9" s="11">
        <v>1</v>
      </c>
      <c r="G9" s="11">
        <v>1</v>
      </c>
      <c r="H9" s="11">
        <v>1</v>
      </c>
      <c r="I9" s="11">
        <f t="shared" si="0"/>
        <v>5</v>
      </c>
      <c r="J9" s="51"/>
      <c r="K9" s="51"/>
      <c r="L9" s="51"/>
      <c r="M9" s="51"/>
      <c r="N9" s="51"/>
      <c r="O9" s="51"/>
      <c r="P9" s="51"/>
      <c r="Q9" s="51"/>
      <c r="R9" s="51"/>
      <c r="S9" s="51"/>
      <c r="T9" s="45"/>
      <c r="U9" s="49"/>
    </row>
    <row r="10" spans="1:22" ht="18" customHeight="1">
      <c r="A10" s="58"/>
      <c r="B10" s="58"/>
      <c r="C10" s="66"/>
      <c r="D10" s="10" t="s">
        <v>95</v>
      </c>
      <c r="E10" s="11">
        <v>5</v>
      </c>
      <c r="F10" s="11">
        <v>5</v>
      </c>
      <c r="G10" s="11">
        <v>4</v>
      </c>
      <c r="H10" s="11">
        <v>5</v>
      </c>
      <c r="I10" s="11">
        <f t="shared" si="0"/>
        <v>19</v>
      </c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45"/>
      <c r="U10" s="108"/>
    </row>
    <row r="11" spans="1:22" ht="18" customHeight="1">
      <c r="A11" s="13" t="s">
        <v>56</v>
      </c>
      <c r="B11" s="13"/>
      <c r="C11" s="13"/>
      <c r="D11" s="13"/>
      <c r="E11" s="14"/>
      <c r="F11" s="14"/>
      <c r="G11" s="14"/>
      <c r="H11" s="14"/>
      <c r="I11" s="11"/>
      <c r="J11" s="11">
        <f>SUM(J5:J10)</f>
        <v>6</v>
      </c>
      <c r="K11" s="11"/>
      <c r="L11" s="11">
        <f>SUM(L5:L10)</f>
        <v>154</v>
      </c>
      <c r="M11" s="11"/>
      <c r="N11" s="11"/>
      <c r="O11" s="11">
        <f>SUM(O5:O10)</f>
        <v>98.4</v>
      </c>
      <c r="P11" s="11">
        <f>SUM(P5:P10)</f>
        <v>92.4</v>
      </c>
      <c r="Q11" s="11"/>
      <c r="R11" s="11"/>
      <c r="S11" s="11"/>
      <c r="T11" s="37"/>
      <c r="U11" s="37">
        <f>SUM(U5:U10)</f>
        <v>0.46818000000000004</v>
      </c>
    </row>
    <row r="12" spans="1:22" ht="18" customHeight="1"/>
    <row r="13" spans="1:22" ht="18" customHeight="1">
      <c r="M13" s="12"/>
      <c r="N13" s="12"/>
      <c r="O13" s="12"/>
      <c r="P13" s="12"/>
      <c r="Q13" s="12"/>
      <c r="R13" s="12"/>
      <c r="S13" s="12"/>
      <c r="T13" s="12"/>
    </row>
    <row r="14" spans="1:22" ht="18" customHeight="1">
      <c r="A14" s="113" t="s">
        <v>85</v>
      </c>
      <c r="B14" s="113"/>
      <c r="C14" t="s">
        <v>86</v>
      </c>
      <c r="E14" t="s">
        <v>87</v>
      </c>
      <c r="H14" t="s">
        <v>88</v>
      </c>
      <c r="J14" t="s">
        <v>89</v>
      </c>
      <c r="L14" t="s">
        <v>90</v>
      </c>
      <c r="M14" s="12"/>
      <c r="N14" s="12" t="s">
        <v>91</v>
      </c>
      <c r="O14" s="12"/>
      <c r="P14" s="12" t="s">
        <v>92</v>
      </c>
      <c r="Q14" s="12"/>
      <c r="R14" s="12"/>
      <c r="S14" s="12"/>
      <c r="T14" s="12"/>
      <c r="U14" s="12"/>
      <c r="V14" s="12"/>
    </row>
    <row r="15" spans="1:22" ht="18" customHeight="1">
      <c r="A15" s="12"/>
      <c r="B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</row>
    <row r="16" spans="1:22" ht="18" customHeight="1">
      <c r="A16" s="12"/>
      <c r="B16" s="12"/>
      <c r="K16" s="12"/>
      <c r="L16" s="17"/>
      <c r="M16" s="12"/>
      <c r="N16" s="12"/>
      <c r="O16" s="12"/>
      <c r="P16" s="12"/>
      <c r="Q16" s="12"/>
      <c r="R16" s="12"/>
      <c r="S16" s="12"/>
      <c r="T16" s="12"/>
      <c r="U16" s="12"/>
      <c r="V16" s="12"/>
    </row>
    <row r="17" spans="1:22" ht="18" customHeight="1">
      <c r="A17" s="12"/>
      <c r="B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</row>
    <row r="18" spans="1:22" ht="18" customHeight="1">
      <c r="A18" s="12"/>
      <c r="B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</row>
    <row r="19" spans="1:22" ht="18" customHeight="1">
      <c r="A19" s="12"/>
      <c r="B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</row>
    <row r="20" spans="1:22" ht="18" customHeight="1">
      <c r="A20" s="12"/>
      <c r="B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</row>
    <row r="21" spans="1:22" ht="18" customHeight="1">
      <c r="A21" s="12"/>
      <c r="B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</row>
    <row r="22" spans="1:22" ht="18" customHeight="1">
      <c r="A22" s="12"/>
      <c r="B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  <row r="23" spans="1:22" ht="18" customHeight="1">
      <c r="A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</row>
    <row r="24" spans="1:22" ht="18" customHeight="1">
      <c r="A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 spans="1:22" ht="18" customHeight="1">
      <c r="A25" s="12"/>
      <c r="K25" s="12"/>
      <c r="M25" s="12"/>
      <c r="N25" s="12"/>
      <c r="O25" s="12"/>
      <c r="P25" s="12"/>
      <c r="Q25" s="12"/>
      <c r="R25" s="12"/>
      <c r="S25" s="12"/>
      <c r="T25" s="12"/>
    </row>
    <row r="26" spans="1:22" ht="18" customHeight="1">
      <c r="A26" s="12"/>
      <c r="K26" s="12"/>
    </row>
    <row r="27" spans="1:22" ht="18" customHeight="1">
      <c r="A27" s="12"/>
      <c r="B27" s="12"/>
      <c r="E27" s="74" t="s">
        <v>79</v>
      </c>
      <c r="F27" s="74"/>
    </row>
    <row r="28" spans="1:22" ht="18" customHeight="1">
      <c r="C28" s="116" t="s">
        <v>93</v>
      </c>
      <c r="D28" s="10" t="s">
        <v>94</v>
      </c>
      <c r="E28" s="55"/>
      <c r="F28" s="56"/>
    </row>
    <row r="29" spans="1:22" ht="18" customHeight="1">
      <c r="C29" s="117"/>
      <c r="D29" s="10" t="s">
        <v>99</v>
      </c>
      <c r="E29" s="55"/>
      <c r="F29" s="56"/>
    </row>
    <row r="30" spans="1:22" ht="18" customHeight="1">
      <c r="C30" s="118"/>
      <c r="D30" s="10" t="s">
        <v>95</v>
      </c>
      <c r="E30" s="55">
        <v>1</v>
      </c>
      <c r="F30" s="56"/>
    </row>
    <row r="31" spans="1:22" ht="18" customHeight="1"/>
    <row r="32" spans="1:2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</sheetData>
  <mergeCells count="50">
    <mergeCell ref="A1:U1"/>
    <mergeCell ref="E2:H2"/>
    <mergeCell ref="Q2:S2"/>
    <mergeCell ref="E3:H3"/>
    <mergeCell ref="Q3:S3"/>
    <mergeCell ref="A3:A4"/>
    <mergeCell ref="D3:D4"/>
    <mergeCell ref="I3:I4"/>
    <mergeCell ref="J3:J4"/>
    <mergeCell ref="L3:L4"/>
    <mergeCell ref="N3:N4"/>
    <mergeCell ref="T3:T4"/>
    <mergeCell ref="A14:B14"/>
    <mergeCell ref="E27:F27"/>
    <mergeCell ref="E28:F28"/>
    <mergeCell ref="E29:F29"/>
    <mergeCell ref="E30:F30"/>
    <mergeCell ref="C28:C30"/>
    <mergeCell ref="A5:A10"/>
    <mergeCell ref="B3:B4"/>
    <mergeCell ref="B5:B10"/>
    <mergeCell ref="C3:C4"/>
    <mergeCell ref="C5:C7"/>
    <mergeCell ref="C8:C10"/>
    <mergeCell ref="J5:J7"/>
    <mergeCell ref="J8:J10"/>
    <mergeCell ref="K3:K4"/>
    <mergeCell ref="K5:K7"/>
    <mergeCell ref="K8:K10"/>
    <mergeCell ref="L5:L7"/>
    <mergeCell ref="L8:L10"/>
    <mergeCell ref="M3:M4"/>
    <mergeCell ref="M5:M7"/>
    <mergeCell ref="M8:M10"/>
    <mergeCell ref="N5:N7"/>
    <mergeCell ref="N8:N10"/>
    <mergeCell ref="O3:O4"/>
    <mergeCell ref="O5:O10"/>
    <mergeCell ref="P3:P4"/>
    <mergeCell ref="P5:P10"/>
    <mergeCell ref="T5:T7"/>
    <mergeCell ref="T8:T10"/>
    <mergeCell ref="U3:U4"/>
    <mergeCell ref="U5:U10"/>
    <mergeCell ref="Q5:Q7"/>
    <mergeCell ref="Q8:Q10"/>
    <mergeCell ref="R5:R7"/>
    <mergeCell ref="R8:R10"/>
    <mergeCell ref="S5:S7"/>
    <mergeCell ref="S8:S10"/>
  </mergeCells>
  <phoneticPr fontId="12" type="noConversion"/>
  <pageMargins left="0.70866141732283505" right="0.70866141732283505" top="0.74803149606299202" bottom="0.74803149606299202" header="0.31496062992126" footer="0.31496062992126"/>
  <pageSetup paperSize="9" scale="7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V41"/>
  <sheetViews>
    <sheetView zoomScale="85" zoomScaleNormal="85" workbookViewId="0">
      <selection activeCell="T5" sqref="T5:U14"/>
    </sheetView>
  </sheetViews>
  <sheetFormatPr baseColWidth="10" defaultColWidth="9" defaultRowHeight="14.6"/>
  <cols>
    <col min="1" max="1" width="14" customWidth="1"/>
    <col min="2" max="2" width="13.15234375" customWidth="1"/>
    <col min="4" max="4" width="12.61328125" customWidth="1"/>
    <col min="5" max="8" width="6.61328125" customWidth="1"/>
    <col min="17" max="19" width="4.61328125" customWidth="1"/>
    <col min="20" max="20" width="15.23046875" customWidth="1"/>
    <col min="21" max="21" width="11.61328125" customWidth="1"/>
  </cols>
  <sheetData>
    <row r="1" spans="1:21" ht="22.75">
      <c r="A1" s="105" t="s">
        <v>101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</row>
    <row r="2" spans="1:21" ht="18" customHeight="1">
      <c r="A2" s="1" t="s">
        <v>9</v>
      </c>
      <c r="B2" s="1" t="s">
        <v>4</v>
      </c>
      <c r="C2" s="2" t="s">
        <v>10</v>
      </c>
      <c r="D2" s="3" t="s">
        <v>58</v>
      </c>
      <c r="E2" s="76" t="s">
        <v>59</v>
      </c>
      <c r="F2" s="77"/>
      <c r="G2" s="77"/>
      <c r="H2" s="78"/>
      <c r="I2" s="4" t="s">
        <v>60</v>
      </c>
      <c r="J2" s="5" t="s">
        <v>61</v>
      </c>
      <c r="K2" s="6" t="s">
        <v>62</v>
      </c>
      <c r="L2" s="6" t="s">
        <v>63</v>
      </c>
      <c r="M2" s="1" t="s">
        <v>14</v>
      </c>
      <c r="N2" s="1" t="s">
        <v>15</v>
      </c>
      <c r="O2" s="1" t="s">
        <v>16</v>
      </c>
      <c r="P2" s="1" t="s">
        <v>17</v>
      </c>
      <c r="Q2" s="79" t="s">
        <v>18</v>
      </c>
      <c r="R2" s="80"/>
      <c r="S2" s="81"/>
      <c r="T2" s="7" t="s">
        <v>19</v>
      </c>
      <c r="U2" s="8" t="s">
        <v>20</v>
      </c>
    </row>
    <row r="3" spans="1:21" ht="18" customHeight="1">
      <c r="A3" s="57" t="s">
        <v>64</v>
      </c>
      <c r="B3" s="53" t="s">
        <v>65</v>
      </c>
      <c r="C3" s="62" t="s">
        <v>66</v>
      </c>
      <c r="D3" s="68" t="s">
        <v>67</v>
      </c>
      <c r="E3" s="82" t="s">
        <v>68</v>
      </c>
      <c r="F3" s="83"/>
      <c r="G3" s="83"/>
      <c r="H3" s="84"/>
      <c r="I3" s="57" t="s">
        <v>69</v>
      </c>
      <c r="J3" s="57" t="s">
        <v>70</v>
      </c>
      <c r="K3" s="53" t="s">
        <v>71</v>
      </c>
      <c r="L3" s="57" t="s">
        <v>72</v>
      </c>
      <c r="M3" s="53" t="s">
        <v>32</v>
      </c>
      <c r="N3" s="53" t="s">
        <v>33</v>
      </c>
      <c r="O3" s="53" t="s">
        <v>73</v>
      </c>
      <c r="P3" s="53" t="s">
        <v>74</v>
      </c>
      <c r="Q3" s="79" t="s">
        <v>75</v>
      </c>
      <c r="R3" s="80"/>
      <c r="S3" s="112"/>
      <c r="T3" s="87" t="s">
        <v>76</v>
      </c>
      <c r="U3" s="46" t="s">
        <v>38</v>
      </c>
    </row>
    <row r="4" spans="1:21" ht="18" customHeight="1">
      <c r="A4" s="58"/>
      <c r="B4" s="54"/>
      <c r="C4" s="63"/>
      <c r="D4" s="69"/>
      <c r="E4" s="2" t="s">
        <v>77</v>
      </c>
      <c r="F4" s="2" t="s">
        <v>78</v>
      </c>
      <c r="G4" s="2" t="s">
        <v>79</v>
      </c>
      <c r="H4" s="2" t="s">
        <v>80</v>
      </c>
      <c r="I4" s="58"/>
      <c r="J4" s="58"/>
      <c r="K4" s="54"/>
      <c r="L4" s="58"/>
      <c r="M4" s="54"/>
      <c r="N4" s="54"/>
      <c r="O4" s="54"/>
      <c r="P4" s="54"/>
      <c r="Q4" s="9" t="s">
        <v>81</v>
      </c>
      <c r="R4" s="9" t="s">
        <v>82</v>
      </c>
      <c r="S4" s="9" t="s">
        <v>83</v>
      </c>
      <c r="T4" s="87"/>
      <c r="U4" s="47"/>
    </row>
    <row r="5" spans="1:21" ht="18" customHeight="1">
      <c r="A5" s="57" t="s">
        <v>49</v>
      </c>
      <c r="B5" s="57" t="s">
        <v>41</v>
      </c>
      <c r="C5" s="64"/>
      <c r="D5" s="22" t="s">
        <v>94</v>
      </c>
      <c r="E5" s="11">
        <v>2</v>
      </c>
      <c r="F5" s="11">
        <v>2</v>
      </c>
      <c r="G5" s="11">
        <v>2</v>
      </c>
      <c r="H5" s="11">
        <v>2</v>
      </c>
      <c r="I5" s="11">
        <f>SUM(E5:H5)</f>
        <v>8</v>
      </c>
      <c r="J5" s="50">
        <v>9</v>
      </c>
      <c r="K5" s="50">
        <f>SUM(I5:I7)</f>
        <v>24</v>
      </c>
      <c r="L5" s="50">
        <f>J5*K5</f>
        <v>216</v>
      </c>
      <c r="M5" s="50">
        <v>15.8</v>
      </c>
      <c r="N5" s="50">
        <v>14.8</v>
      </c>
      <c r="O5" s="50">
        <f>J5*M5+M7</f>
        <v>142.20000000000002</v>
      </c>
      <c r="P5" s="50">
        <f>J5*N5+N7</f>
        <v>133.20000000000002</v>
      </c>
      <c r="Q5" s="50">
        <v>54</v>
      </c>
      <c r="R5" s="50">
        <v>34</v>
      </c>
      <c r="S5" s="50">
        <v>45</v>
      </c>
      <c r="T5" s="48">
        <f>Q5*R5*S5/1000000</f>
        <v>8.2619999999999999E-2</v>
      </c>
      <c r="U5" s="48">
        <f>T5*J5</f>
        <v>0.74358000000000002</v>
      </c>
    </row>
    <row r="6" spans="1:21" ht="18" customHeight="1">
      <c r="A6" s="61"/>
      <c r="B6" s="61"/>
      <c r="C6" s="65"/>
      <c r="D6" s="22" t="s">
        <v>102</v>
      </c>
      <c r="E6" s="11">
        <v>2</v>
      </c>
      <c r="F6" s="11">
        <v>2</v>
      </c>
      <c r="G6" s="11">
        <v>2</v>
      </c>
      <c r="H6" s="11">
        <v>2</v>
      </c>
      <c r="I6" s="11">
        <f t="shared" ref="I6:I13" si="0">SUM(E6:H6)</f>
        <v>8</v>
      </c>
      <c r="J6" s="51"/>
      <c r="K6" s="51"/>
      <c r="L6" s="51"/>
      <c r="M6" s="51"/>
      <c r="N6" s="51"/>
      <c r="O6" s="51"/>
      <c r="P6" s="51"/>
      <c r="Q6" s="51"/>
      <c r="R6" s="51"/>
      <c r="S6" s="51"/>
      <c r="T6" s="49"/>
      <c r="U6" s="49"/>
    </row>
    <row r="7" spans="1:21" ht="18" customHeight="1">
      <c r="A7" s="61"/>
      <c r="B7" s="61"/>
      <c r="C7" s="66"/>
      <c r="D7" s="22" t="s">
        <v>103</v>
      </c>
      <c r="E7" s="11">
        <v>2</v>
      </c>
      <c r="F7" s="11">
        <v>2</v>
      </c>
      <c r="G7" s="11">
        <v>2</v>
      </c>
      <c r="H7" s="11">
        <v>2</v>
      </c>
      <c r="I7" s="11">
        <f t="shared" si="0"/>
        <v>8</v>
      </c>
      <c r="J7" s="52"/>
      <c r="K7" s="52"/>
      <c r="L7" s="52"/>
      <c r="M7" s="52"/>
      <c r="N7" s="52"/>
      <c r="O7" s="52"/>
      <c r="P7" s="52"/>
      <c r="Q7" s="52"/>
      <c r="R7" s="52"/>
      <c r="S7" s="52"/>
      <c r="T7" s="108"/>
      <c r="U7" s="108"/>
    </row>
    <row r="8" spans="1:21" ht="18" customHeight="1">
      <c r="A8" s="61"/>
      <c r="B8" s="61"/>
      <c r="C8" s="50"/>
      <c r="D8" s="22" t="s">
        <v>94</v>
      </c>
      <c r="E8" s="11">
        <v>1</v>
      </c>
      <c r="F8" s="11">
        <v>1</v>
      </c>
      <c r="G8" s="11">
        <v>1</v>
      </c>
      <c r="H8" s="11">
        <v>2</v>
      </c>
      <c r="I8" s="11">
        <f t="shared" si="0"/>
        <v>5</v>
      </c>
      <c r="J8" s="50">
        <v>1</v>
      </c>
      <c r="K8" s="50">
        <f>SUM(I8:I10)</f>
        <v>24</v>
      </c>
      <c r="L8" s="50">
        <f>J8*K8</f>
        <v>24</v>
      </c>
      <c r="M8" s="50">
        <v>15.8</v>
      </c>
      <c r="N8" s="50">
        <v>14.8</v>
      </c>
      <c r="O8" s="50">
        <f>J8*M8+M10</f>
        <v>15.8</v>
      </c>
      <c r="P8" s="50">
        <f>J8*N8+N10</f>
        <v>14.8</v>
      </c>
      <c r="Q8" s="50">
        <v>54</v>
      </c>
      <c r="R8" s="50">
        <v>34</v>
      </c>
      <c r="S8" s="50">
        <v>45</v>
      </c>
      <c r="T8" s="48">
        <f>Q8*R8*S8/1000000</f>
        <v>8.2619999999999999E-2</v>
      </c>
      <c r="U8" s="48">
        <f>T8*J8</f>
        <v>8.2619999999999999E-2</v>
      </c>
    </row>
    <row r="9" spans="1:21" ht="18" customHeight="1">
      <c r="A9" s="61"/>
      <c r="B9" s="61"/>
      <c r="C9" s="65"/>
      <c r="D9" s="22" t="s">
        <v>102</v>
      </c>
      <c r="E9" s="11">
        <v>2</v>
      </c>
      <c r="F9" s="11">
        <v>2</v>
      </c>
      <c r="G9" s="11">
        <v>2</v>
      </c>
      <c r="H9" s="11">
        <v>2</v>
      </c>
      <c r="I9" s="11">
        <f t="shared" si="0"/>
        <v>8</v>
      </c>
      <c r="J9" s="51"/>
      <c r="K9" s="51"/>
      <c r="L9" s="51"/>
      <c r="M9" s="51"/>
      <c r="N9" s="51"/>
      <c r="O9" s="51"/>
      <c r="P9" s="51"/>
      <c r="Q9" s="51"/>
      <c r="R9" s="51"/>
      <c r="S9" s="51"/>
      <c r="T9" s="49"/>
      <c r="U9" s="49"/>
    </row>
    <row r="10" spans="1:21" ht="18" customHeight="1">
      <c r="A10" s="61"/>
      <c r="B10" s="61"/>
      <c r="C10" s="66"/>
      <c r="D10" s="22" t="s">
        <v>103</v>
      </c>
      <c r="E10" s="11">
        <v>3</v>
      </c>
      <c r="F10" s="11">
        <v>3</v>
      </c>
      <c r="G10" s="11">
        <v>3</v>
      </c>
      <c r="H10" s="11">
        <v>2</v>
      </c>
      <c r="I10" s="11">
        <f t="shared" si="0"/>
        <v>11</v>
      </c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108"/>
      <c r="U10" s="108"/>
    </row>
    <row r="11" spans="1:21" ht="18" customHeight="1">
      <c r="A11" s="61"/>
      <c r="B11" s="61"/>
      <c r="C11" s="50"/>
      <c r="D11" s="22" t="s">
        <v>94</v>
      </c>
      <c r="E11" s="11" t="s">
        <v>84</v>
      </c>
      <c r="F11" s="11" t="s">
        <v>84</v>
      </c>
      <c r="G11" s="11" t="s">
        <v>84</v>
      </c>
      <c r="H11" s="11" t="s">
        <v>84</v>
      </c>
      <c r="I11" s="11">
        <f t="shared" si="0"/>
        <v>0</v>
      </c>
      <c r="J11" s="50">
        <v>1</v>
      </c>
      <c r="K11" s="50">
        <f>SUM(I11:I13)</f>
        <v>24</v>
      </c>
      <c r="L11" s="50">
        <f>J11*K11</f>
        <v>24</v>
      </c>
      <c r="M11" s="50">
        <v>15.8</v>
      </c>
      <c r="N11" s="50">
        <v>14.8</v>
      </c>
      <c r="O11" s="50">
        <f>J11*M11+M13</f>
        <v>15.8</v>
      </c>
      <c r="P11" s="50">
        <f>J11*N11+N13</f>
        <v>14.8</v>
      </c>
      <c r="Q11" s="50">
        <v>54</v>
      </c>
      <c r="R11" s="50">
        <v>34</v>
      </c>
      <c r="S11" s="50">
        <v>45</v>
      </c>
      <c r="T11" s="48">
        <f>Q11*R11*S11/1000000</f>
        <v>8.2619999999999999E-2</v>
      </c>
      <c r="U11" s="48">
        <f>T11*J11</f>
        <v>8.2619999999999999E-2</v>
      </c>
    </row>
    <row r="12" spans="1:21" ht="18" customHeight="1">
      <c r="A12" s="61"/>
      <c r="B12" s="61"/>
      <c r="C12" s="51"/>
      <c r="D12" s="22" t="s">
        <v>102</v>
      </c>
      <c r="E12" s="11">
        <v>4</v>
      </c>
      <c r="F12" s="11">
        <v>2</v>
      </c>
      <c r="G12" s="11">
        <v>3</v>
      </c>
      <c r="H12" s="11">
        <v>3</v>
      </c>
      <c r="I12" s="11">
        <f t="shared" si="0"/>
        <v>12</v>
      </c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49"/>
      <c r="U12" s="49"/>
    </row>
    <row r="13" spans="1:21" ht="18" customHeight="1">
      <c r="A13" s="58"/>
      <c r="B13" s="58"/>
      <c r="C13" s="52"/>
      <c r="D13" s="22" t="s">
        <v>103</v>
      </c>
      <c r="E13" s="11">
        <v>2</v>
      </c>
      <c r="F13" s="11">
        <v>3</v>
      </c>
      <c r="G13" s="11">
        <v>2</v>
      </c>
      <c r="H13" s="11">
        <v>5</v>
      </c>
      <c r="I13" s="11">
        <f t="shared" si="0"/>
        <v>12</v>
      </c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108"/>
      <c r="U13" s="108"/>
    </row>
    <row r="14" spans="1:21" ht="18" customHeight="1">
      <c r="A14" s="13" t="s">
        <v>56</v>
      </c>
      <c r="B14" s="13"/>
      <c r="C14" s="13"/>
      <c r="D14" s="14"/>
      <c r="E14" s="14"/>
      <c r="F14" s="14"/>
      <c r="G14" s="14"/>
      <c r="H14" s="14"/>
      <c r="I14" s="11"/>
      <c r="J14" s="11">
        <f>SUM(J5:J13)</f>
        <v>11</v>
      </c>
      <c r="K14" s="11"/>
      <c r="L14" s="11">
        <f>SUM(L5:L13)</f>
        <v>264</v>
      </c>
      <c r="M14" s="11"/>
      <c r="N14" s="11"/>
      <c r="O14" s="11">
        <f>SUM(O5:O13)</f>
        <v>173.80000000000004</v>
      </c>
      <c r="P14" s="11">
        <f>SUM(P5:P13)</f>
        <v>162.80000000000004</v>
      </c>
      <c r="Q14" s="11"/>
      <c r="R14" s="11"/>
      <c r="S14" s="11"/>
      <c r="T14" s="43"/>
      <c r="U14" s="43">
        <f>SUM(U5:U13)</f>
        <v>0.90882000000000007</v>
      </c>
    </row>
    <row r="15" spans="1:21" ht="18" customHeight="1"/>
    <row r="16" spans="1:21" ht="18" customHeight="1"/>
    <row r="17" spans="1:22" ht="18" customHeight="1">
      <c r="A17" s="73" t="s">
        <v>85</v>
      </c>
      <c r="B17" s="73"/>
      <c r="C17" t="s">
        <v>86</v>
      </c>
      <c r="E17" t="s">
        <v>87</v>
      </c>
      <c r="H17" t="s">
        <v>88</v>
      </c>
      <c r="J17" t="s">
        <v>89</v>
      </c>
      <c r="L17" t="s">
        <v>90</v>
      </c>
      <c r="N17" t="s">
        <v>91</v>
      </c>
      <c r="P17" t="s">
        <v>92</v>
      </c>
    </row>
    <row r="18" spans="1:22" ht="18" customHeight="1">
      <c r="A18" s="12"/>
      <c r="B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</row>
    <row r="19" spans="1:22" ht="18" customHeight="1">
      <c r="A19" s="12"/>
      <c r="B19" s="12"/>
      <c r="K19" s="12"/>
      <c r="L19" s="17"/>
      <c r="M19" s="12"/>
      <c r="N19" s="12"/>
      <c r="O19" s="12"/>
      <c r="P19" s="12"/>
      <c r="Q19" s="12"/>
      <c r="R19" s="12"/>
      <c r="S19" s="12"/>
      <c r="T19" s="12"/>
      <c r="U19" s="12"/>
      <c r="V19" s="12"/>
    </row>
    <row r="20" spans="1:22" ht="18" customHeight="1">
      <c r="A20" s="12"/>
      <c r="B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</row>
    <row r="21" spans="1:22" ht="18" customHeight="1">
      <c r="A21" s="12"/>
      <c r="B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</row>
    <row r="22" spans="1:22" ht="18" customHeight="1">
      <c r="A22" s="12"/>
      <c r="B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  <row r="23" spans="1:22" ht="18" customHeight="1">
      <c r="A23" s="12"/>
      <c r="B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</row>
    <row r="24" spans="1:22" ht="18" customHeight="1">
      <c r="A24" s="12"/>
      <c r="B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</row>
    <row r="25" spans="1:22" ht="18" customHeight="1">
      <c r="A25" s="12"/>
      <c r="B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</row>
    <row r="26" spans="1:22" ht="18" customHeight="1">
      <c r="A26" s="12"/>
      <c r="B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</row>
    <row r="27" spans="1:22" ht="18" customHeight="1">
      <c r="A27" s="12"/>
      <c r="B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</row>
    <row r="28" spans="1:22" ht="18" customHeight="1">
      <c r="A28" s="12"/>
      <c r="B28" s="12"/>
      <c r="K28" s="12"/>
      <c r="U28" s="12"/>
      <c r="V28" s="12"/>
    </row>
    <row r="29" spans="1:22" ht="18" customHeight="1">
      <c r="A29" s="12"/>
      <c r="B29" s="12"/>
      <c r="U29" s="12"/>
      <c r="V29" s="12"/>
    </row>
    <row r="30" spans="1:22" ht="18" customHeight="1">
      <c r="E30" s="74" t="s">
        <v>79</v>
      </c>
      <c r="F30" s="74"/>
    </row>
    <row r="31" spans="1:22" ht="18" customHeight="1">
      <c r="C31" s="115" t="s">
        <v>93</v>
      </c>
      <c r="D31" s="22" t="s">
        <v>94</v>
      </c>
      <c r="E31" s="55"/>
      <c r="F31" s="56"/>
      <c r="G31" s="12"/>
      <c r="H31" s="12"/>
    </row>
    <row r="32" spans="1:22" ht="18" customHeight="1">
      <c r="C32" s="115"/>
      <c r="D32" s="22" t="s">
        <v>102</v>
      </c>
      <c r="E32" s="55"/>
      <c r="F32" s="56"/>
      <c r="G32" s="12"/>
      <c r="H32" s="12"/>
    </row>
    <row r="33" spans="3:6" ht="18" customHeight="1">
      <c r="C33" s="115"/>
      <c r="D33" s="23" t="s">
        <v>103</v>
      </c>
      <c r="E33" s="55">
        <v>1</v>
      </c>
      <c r="F33" s="56"/>
    </row>
    <row r="34" spans="3:6" ht="18" customHeight="1"/>
    <row r="35" spans="3:6" ht="18" customHeight="1"/>
    <row r="36" spans="3:6" ht="18" customHeight="1"/>
    <row r="37" spans="3:6" ht="18" customHeight="1"/>
    <row r="38" spans="3:6" ht="18" customHeight="1"/>
    <row r="39" spans="3:6" ht="18" customHeight="1"/>
    <row r="40" spans="3:6" ht="18" customHeight="1"/>
    <row r="41" spans="3:6" ht="18" customHeight="1"/>
  </sheetData>
  <mergeCells count="66">
    <mergeCell ref="A1:U1"/>
    <mergeCell ref="E2:H2"/>
    <mergeCell ref="Q2:S2"/>
    <mergeCell ref="E3:H3"/>
    <mergeCell ref="Q3:S3"/>
    <mergeCell ref="A3:A4"/>
    <mergeCell ref="D3:D4"/>
    <mergeCell ref="I3:I4"/>
    <mergeCell ref="J3:J4"/>
    <mergeCell ref="L3:L4"/>
    <mergeCell ref="N3:N4"/>
    <mergeCell ref="P3:P4"/>
    <mergeCell ref="T3:T4"/>
    <mergeCell ref="A17:B17"/>
    <mergeCell ref="E30:F30"/>
    <mergeCell ref="E31:F31"/>
    <mergeCell ref="E32:F32"/>
    <mergeCell ref="E33:F33"/>
    <mergeCell ref="C31:C33"/>
    <mergeCell ref="A5:A13"/>
    <mergeCell ref="B3:B4"/>
    <mergeCell ref="B5:B13"/>
    <mergeCell ref="C3:C4"/>
    <mergeCell ref="C5:C7"/>
    <mergeCell ref="C8:C10"/>
    <mergeCell ref="C11:C13"/>
    <mergeCell ref="J5:J7"/>
    <mergeCell ref="J8:J10"/>
    <mergeCell ref="J11:J13"/>
    <mergeCell ref="K3:K4"/>
    <mergeCell ref="K5:K7"/>
    <mergeCell ref="K8:K10"/>
    <mergeCell ref="K11:K13"/>
    <mergeCell ref="L5:L7"/>
    <mergeCell ref="L8:L10"/>
    <mergeCell ref="L11:L13"/>
    <mergeCell ref="M3:M4"/>
    <mergeCell ref="M5:M7"/>
    <mergeCell ref="M8:M10"/>
    <mergeCell ref="M11:M13"/>
    <mergeCell ref="N5:N7"/>
    <mergeCell ref="N8:N10"/>
    <mergeCell ref="N11:N13"/>
    <mergeCell ref="O3:O4"/>
    <mergeCell ref="O5:O7"/>
    <mergeCell ref="O8:O10"/>
    <mergeCell ref="O11:O13"/>
    <mergeCell ref="P5:P7"/>
    <mergeCell ref="P8:P10"/>
    <mergeCell ref="P11:P13"/>
    <mergeCell ref="Q5:Q7"/>
    <mergeCell ref="Q8:Q10"/>
    <mergeCell ref="Q11:Q13"/>
    <mergeCell ref="R5:R7"/>
    <mergeCell ref="R8:R10"/>
    <mergeCell ref="R11:R13"/>
    <mergeCell ref="S5:S7"/>
    <mergeCell ref="S8:S10"/>
    <mergeCell ref="S11:S13"/>
    <mergeCell ref="T5:T7"/>
    <mergeCell ref="T8:T10"/>
    <mergeCell ref="T11:T13"/>
    <mergeCell ref="U3:U4"/>
    <mergeCell ref="U5:U7"/>
    <mergeCell ref="U8:U10"/>
    <mergeCell ref="U11:U13"/>
  </mergeCells>
  <phoneticPr fontId="12" type="noConversion"/>
  <pageMargins left="0.70866141732283505" right="0.70866141732283505" top="0.74803149606299202" bottom="0.74803149606299202" header="0.31496062992126" footer="0.31496062992126"/>
  <pageSetup paperSize="9" scale="7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31"/>
  <sheetViews>
    <sheetView topLeftCell="A2" zoomScale="85" zoomScaleNormal="85" workbookViewId="0">
      <selection activeCell="K36" sqref="K36"/>
    </sheetView>
  </sheetViews>
  <sheetFormatPr baseColWidth="10" defaultColWidth="9" defaultRowHeight="14.6"/>
  <cols>
    <col min="1" max="1" width="15.3828125" customWidth="1"/>
    <col min="2" max="2" width="15.15234375" customWidth="1"/>
    <col min="4" max="4" width="26.69140625" customWidth="1"/>
    <col min="5" max="8" width="6.61328125" customWidth="1"/>
    <col min="17" max="19" width="4.61328125" customWidth="1"/>
    <col min="20" max="20" width="12.3828125" customWidth="1"/>
    <col min="21" max="21" width="11.69140625" customWidth="1"/>
  </cols>
  <sheetData>
    <row r="1" spans="1:22" ht="18" customHeight="1">
      <c r="A1" s="104" t="s">
        <v>57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</row>
    <row r="2" spans="1:22" ht="18" customHeight="1">
      <c r="A2" s="1" t="s">
        <v>9</v>
      </c>
      <c r="B2" s="1" t="s">
        <v>4</v>
      </c>
      <c r="C2" s="2" t="s">
        <v>10</v>
      </c>
      <c r="D2" s="3" t="s">
        <v>58</v>
      </c>
      <c r="E2" s="76" t="s">
        <v>59</v>
      </c>
      <c r="F2" s="77"/>
      <c r="G2" s="77"/>
      <c r="H2" s="78"/>
      <c r="I2" s="4" t="s">
        <v>60</v>
      </c>
      <c r="J2" s="5" t="s">
        <v>61</v>
      </c>
      <c r="K2" s="6" t="s">
        <v>62</v>
      </c>
      <c r="L2" s="6" t="s">
        <v>63</v>
      </c>
      <c r="M2" s="1" t="s">
        <v>14</v>
      </c>
      <c r="N2" s="1" t="s">
        <v>15</v>
      </c>
      <c r="O2" s="1" t="s">
        <v>16</v>
      </c>
      <c r="P2" s="1" t="s">
        <v>17</v>
      </c>
      <c r="Q2" s="79" t="s">
        <v>18</v>
      </c>
      <c r="R2" s="80"/>
      <c r="S2" s="81"/>
      <c r="T2" s="7" t="s">
        <v>19</v>
      </c>
      <c r="U2" s="8" t="s">
        <v>20</v>
      </c>
    </row>
    <row r="3" spans="1:22" ht="18" customHeight="1">
      <c r="A3" s="57" t="s">
        <v>64</v>
      </c>
      <c r="B3" s="53" t="s">
        <v>65</v>
      </c>
      <c r="C3" s="62" t="s">
        <v>66</v>
      </c>
      <c r="D3" s="68" t="s">
        <v>67</v>
      </c>
      <c r="E3" s="82" t="s">
        <v>68</v>
      </c>
      <c r="F3" s="83"/>
      <c r="G3" s="83"/>
      <c r="H3" s="84"/>
      <c r="I3" s="57" t="s">
        <v>69</v>
      </c>
      <c r="J3" s="57" t="s">
        <v>70</v>
      </c>
      <c r="K3" s="53" t="s">
        <v>71</v>
      </c>
      <c r="L3" s="57" t="s">
        <v>72</v>
      </c>
      <c r="M3" s="53" t="s">
        <v>32</v>
      </c>
      <c r="N3" s="53" t="s">
        <v>33</v>
      </c>
      <c r="O3" s="53" t="s">
        <v>73</v>
      </c>
      <c r="P3" s="53" t="s">
        <v>74</v>
      </c>
      <c r="Q3" s="79" t="s">
        <v>75</v>
      </c>
      <c r="R3" s="80"/>
      <c r="S3" s="112"/>
      <c r="T3" s="87" t="s">
        <v>76</v>
      </c>
      <c r="U3" s="46" t="s">
        <v>38</v>
      </c>
    </row>
    <row r="4" spans="1:22" ht="18" customHeight="1">
      <c r="A4" s="58"/>
      <c r="B4" s="54"/>
      <c r="C4" s="63"/>
      <c r="D4" s="69"/>
      <c r="E4" s="2" t="s">
        <v>77</v>
      </c>
      <c r="F4" s="2" t="s">
        <v>78</v>
      </c>
      <c r="G4" s="2" t="s">
        <v>79</v>
      </c>
      <c r="H4" s="2" t="s">
        <v>80</v>
      </c>
      <c r="I4" s="58"/>
      <c r="J4" s="58"/>
      <c r="K4" s="54"/>
      <c r="L4" s="58"/>
      <c r="M4" s="54"/>
      <c r="N4" s="54"/>
      <c r="O4" s="54"/>
      <c r="P4" s="54"/>
      <c r="Q4" s="9" t="s">
        <v>81</v>
      </c>
      <c r="R4" s="9" t="s">
        <v>82</v>
      </c>
      <c r="S4" s="9" t="s">
        <v>83</v>
      </c>
      <c r="T4" s="87"/>
      <c r="U4" s="47"/>
    </row>
    <row r="5" spans="1:22" ht="18" customHeight="1">
      <c r="A5" s="57" t="s">
        <v>51</v>
      </c>
      <c r="B5" s="57" t="s">
        <v>41</v>
      </c>
      <c r="C5" s="64"/>
      <c r="D5" s="40" t="s">
        <v>104</v>
      </c>
      <c r="E5" s="11">
        <v>2</v>
      </c>
      <c r="F5" s="11">
        <v>2</v>
      </c>
      <c r="G5" s="11">
        <v>2</v>
      </c>
      <c r="H5" s="11">
        <v>2</v>
      </c>
      <c r="I5" s="11">
        <f t="shared" ref="I5:I7" si="0">SUM(E5:H5)</f>
        <v>8</v>
      </c>
      <c r="J5" s="50">
        <v>2</v>
      </c>
      <c r="K5" s="50">
        <f>SUM(I5:I7)</f>
        <v>24</v>
      </c>
      <c r="L5" s="50">
        <f>J5*K5</f>
        <v>48</v>
      </c>
      <c r="M5" s="50">
        <v>20</v>
      </c>
      <c r="N5" s="50">
        <v>19</v>
      </c>
      <c r="O5" s="50">
        <f>M5*J5</f>
        <v>40</v>
      </c>
      <c r="P5" s="50">
        <f>N5*J5</f>
        <v>38</v>
      </c>
      <c r="Q5" s="50">
        <v>54</v>
      </c>
      <c r="R5" s="50">
        <v>34</v>
      </c>
      <c r="S5" s="50">
        <v>55</v>
      </c>
      <c r="T5" s="45">
        <f>Q5*R5*S5/1000000</f>
        <v>0.10098</v>
      </c>
      <c r="U5" s="48">
        <f>T5*J5</f>
        <v>0.20196</v>
      </c>
    </row>
    <row r="6" spans="1:22" ht="18" customHeight="1">
      <c r="A6" s="61"/>
      <c r="B6" s="61"/>
      <c r="C6" s="65"/>
      <c r="D6" s="40" t="s">
        <v>105</v>
      </c>
      <c r="E6" s="11">
        <v>2</v>
      </c>
      <c r="F6" s="11">
        <v>2</v>
      </c>
      <c r="G6" s="11">
        <v>2</v>
      </c>
      <c r="H6" s="11">
        <v>2</v>
      </c>
      <c r="I6" s="11">
        <f t="shared" si="0"/>
        <v>8</v>
      </c>
      <c r="J6" s="51"/>
      <c r="K6" s="51"/>
      <c r="L6" s="51"/>
      <c r="M6" s="51"/>
      <c r="N6" s="51"/>
      <c r="O6" s="51"/>
      <c r="P6" s="51"/>
      <c r="Q6" s="51"/>
      <c r="R6" s="51"/>
      <c r="S6" s="51"/>
      <c r="T6" s="45"/>
      <c r="U6" s="49"/>
    </row>
    <row r="7" spans="1:22" ht="18" customHeight="1">
      <c r="A7" s="61"/>
      <c r="B7" s="61"/>
      <c r="C7" s="66"/>
      <c r="D7" s="40" t="s">
        <v>106</v>
      </c>
      <c r="E7" s="11">
        <v>2</v>
      </c>
      <c r="F7" s="11">
        <v>2</v>
      </c>
      <c r="G7" s="11">
        <v>2</v>
      </c>
      <c r="H7" s="11">
        <v>2</v>
      </c>
      <c r="I7" s="11">
        <f t="shared" si="0"/>
        <v>8</v>
      </c>
      <c r="J7" s="52"/>
      <c r="K7" s="52"/>
      <c r="L7" s="52"/>
      <c r="M7" s="52"/>
      <c r="N7" s="52"/>
      <c r="O7" s="51"/>
      <c r="P7" s="51"/>
      <c r="Q7" s="52"/>
      <c r="R7" s="52"/>
      <c r="S7" s="52"/>
      <c r="T7" s="45"/>
      <c r="U7" s="49"/>
    </row>
    <row r="8" spans="1:22" ht="18" customHeight="1">
      <c r="A8" s="58"/>
      <c r="B8" s="58"/>
      <c r="C8" s="13"/>
      <c r="D8" s="13"/>
      <c r="E8" s="13"/>
      <c r="F8" s="13"/>
      <c r="G8" s="13"/>
      <c r="H8" s="13"/>
      <c r="I8" s="20"/>
      <c r="J8" s="20">
        <f>SUM(J5:J7)</f>
        <v>2</v>
      </c>
      <c r="K8" s="20"/>
      <c r="L8" s="20">
        <f>SUM(L5:L7)</f>
        <v>48</v>
      </c>
      <c r="M8" s="20"/>
      <c r="N8" s="20"/>
      <c r="O8" s="20">
        <f>SUM(O5)</f>
        <v>40</v>
      </c>
      <c r="P8" s="20">
        <f>SUM(P5)</f>
        <v>38</v>
      </c>
      <c r="Q8" s="20"/>
      <c r="R8" s="20"/>
      <c r="S8" s="20"/>
      <c r="T8" s="37"/>
      <c r="U8" s="37">
        <f>SUM(U5:U7)</f>
        <v>0.20196</v>
      </c>
    </row>
    <row r="9" spans="1:22" ht="18" customHeight="1">
      <c r="A9" s="21"/>
      <c r="B9" s="21"/>
    </row>
    <row r="10" spans="1:22" ht="18" customHeight="1"/>
    <row r="11" spans="1:22" ht="18" customHeight="1">
      <c r="A11" s="73" t="s">
        <v>85</v>
      </c>
      <c r="B11" s="73"/>
      <c r="C11" t="s">
        <v>86</v>
      </c>
      <c r="E11" t="s">
        <v>87</v>
      </c>
      <c r="H11" t="s">
        <v>88</v>
      </c>
      <c r="J11" t="s">
        <v>89</v>
      </c>
      <c r="L11" t="s">
        <v>90</v>
      </c>
      <c r="N11" t="s">
        <v>91</v>
      </c>
      <c r="P11" t="s">
        <v>92</v>
      </c>
    </row>
    <row r="12" spans="1:22" ht="18" customHeight="1">
      <c r="A12" s="12"/>
      <c r="B12" s="12"/>
      <c r="C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</row>
    <row r="13" spans="1:22" ht="18" customHeight="1">
      <c r="A13" s="12"/>
      <c r="B13" s="12"/>
      <c r="C13" s="12"/>
      <c r="L13" s="12"/>
      <c r="M13" s="17"/>
      <c r="N13" s="12"/>
      <c r="O13" s="12"/>
      <c r="P13" s="12"/>
      <c r="Q13" s="12"/>
      <c r="R13" s="12"/>
      <c r="S13" s="12"/>
      <c r="T13" s="12"/>
      <c r="U13" s="12"/>
      <c r="V13" s="12"/>
    </row>
    <row r="14" spans="1:22" ht="18" customHeight="1">
      <c r="A14" s="12"/>
      <c r="B14" s="12"/>
      <c r="C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</row>
    <row r="15" spans="1:22" ht="18" customHeight="1">
      <c r="A15" s="12"/>
      <c r="B15" s="12"/>
      <c r="C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</row>
    <row r="16" spans="1:22" ht="18" customHeight="1">
      <c r="A16" s="12"/>
      <c r="B16" s="12"/>
      <c r="C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</row>
    <row r="17" spans="1:22" ht="18" customHeight="1">
      <c r="A17" s="12"/>
      <c r="B17" s="12"/>
      <c r="C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</row>
    <row r="18" spans="1:22" ht="18" customHeight="1">
      <c r="A18" s="12"/>
      <c r="B18" s="12"/>
      <c r="C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</row>
    <row r="19" spans="1:22" ht="18" customHeight="1">
      <c r="A19" s="12"/>
      <c r="B19" s="12"/>
      <c r="C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</row>
    <row r="20" spans="1:22" ht="18" customHeight="1">
      <c r="A20" s="12"/>
      <c r="B20" s="12"/>
      <c r="C20" s="12"/>
      <c r="L20" s="12"/>
      <c r="M20" s="12"/>
      <c r="U20" s="12"/>
      <c r="V20" s="12"/>
    </row>
    <row r="21" spans="1:22" ht="18" customHeight="1">
      <c r="A21" s="12"/>
      <c r="B21" s="12"/>
      <c r="C21" s="12"/>
      <c r="L21" s="12"/>
      <c r="M21" s="12"/>
      <c r="U21" s="12"/>
      <c r="V21" s="12"/>
    </row>
    <row r="22" spans="1:22" ht="18" customHeight="1">
      <c r="A22" s="12"/>
      <c r="B22" s="12"/>
      <c r="C22" s="12"/>
      <c r="L22" s="12"/>
    </row>
    <row r="23" spans="1:22" ht="18" customHeight="1">
      <c r="A23" s="12"/>
      <c r="B23" s="12"/>
      <c r="C23" s="12"/>
    </row>
    <row r="24" spans="1:22" ht="18" customHeight="1">
      <c r="A24" s="12"/>
      <c r="B24" s="12"/>
      <c r="E24" s="74" t="s">
        <v>77</v>
      </c>
      <c r="F24" s="74"/>
    </row>
    <row r="25" spans="1:22" ht="18" customHeight="1">
      <c r="A25" s="12"/>
      <c r="B25" s="12"/>
      <c r="C25" s="116" t="s">
        <v>93</v>
      </c>
      <c r="D25" s="19" t="s">
        <v>104</v>
      </c>
      <c r="E25" s="55"/>
      <c r="F25" s="56"/>
    </row>
    <row r="26" spans="1:22" ht="18" customHeight="1">
      <c r="A26" s="12"/>
      <c r="B26" s="12"/>
      <c r="C26" s="117"/>
      <c r="D26" s="19" t="s">
        <v>105</v>
      </c>
      <c r="E26" s="55">
        <v>1</v>
      </c>
      <c r="F26" s="56"/>
    </row>
    <row r="27" spans="1:22" ht="18" customHeight="1">
      <c r="C27" s="118"/>
      <c r="D27" s="19" t="s">
        <v>106</v>
      </c>
      <c r="E27" s="55"/>
      <c r="F27" s="56"/>
    </row>
    <row r="28" spans="1:22" ht="18" customHeight="1"/>
    <row r="29" spans="1:22" ht="18" customHeight="1"/>
    <row r="30" spans="1:22" ht="18" customHeight="1"/>
    <row r="31" spans="1:22" ht="18" customHeight="1"/>
  </sheetData>
  <mergeCells count="40">
    <mergeCell ref="A1:U1"/>
    <mergeCell ref="E2:H2"/>
    <mergeCell ref="Q2:S2"/>
    <mergeCell ref="E3:H3"/>
    <mergeCell ref="Q3:S3"/>
    <mergeCell ref="A3:A4"/>
    <mergeCell ref="D3:D4"/>
    <mergeCell ref="I3:I4"/>
    <mergeCell ref="J3:J4"/>
    <mergeCell ref="L3:L4"/>
    <mergeCell ref="N3:N4"/>
    <mergeCell ref="T3:T4"/>
    <mergeCell ref="A11:B11"/>
    <mergeCell ref="E24:F24"/>
    <mergeCell ref="E25:F25"/>
    <mergeCell ref="E26:F26"/>
    <mergeCell ref="E27:F27"/>
    <mergeCell ref="C25:C27"/>
    <mergeCell ref="A5:A8"/>
    <mergeCell ref="B3:B4"/>
    <mergeCell ref="B5:B8"/>
    <mergeCell ref="C3:C4"/>
    <mergeCell ref="C5:C7"/>
    <mergeCell ref="J5:J7"/>
    <mergeCell ref="K3:K4"/>
    <mergeCell ref="K5:K7"/>
    <mergeCell ref="L5:L7"/>
    <mergeCell ref="M3:M4"/>
    <mergeCell ref="M5:M7"/>
    <mergeCell ref="N5:N7"/>
    <mergeCell ref="O3:O4"/>
    <mergeCell ref="O5:O7"/>
    <mergeCell ref="P3:P4"/>
    <mergeCell ref="P5:P7"/>
    <mergeCell ref="T5:T7"/>
    <mergeCell ref="U3:U4"/>
    <mergeCell ref="U5:U7"/>
    <mergeCell ref="Q5:Q7"/>
    <mergeCell ref="R5:R7"/>
    <mergeCell ref="S5:S7"/>
  </mergeCells>
  <phoneticPr fontId="12" type="noConversion"/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39"/>
  <sheetViews>
    <sheetView zoomScale="85" zoomScaleNormal="85" workbookViewId="0">
      <selection activeCell="V11" sqref="V11"/>
    </sheetView>
  </sheetViews>
  <sheetFormatPr baseColWidth="10" defaultColWidth="9" defaultRowHeight="14.6"/>
  <cols>
    <col min="1" max="1" width="14.69140625" customWidth="1"/>
    <col min="2" max="2" width="18" customWidth="1"/>
    <col min="4" max="4" width="12.61328125" customWidth="1"/>
    <col min="5" max="8" width="6.61328125" customWidth="1"/>
    <col min="17" max="19" width="4.61328125" customWidth="1"/>
    <col min="20" max="20" width="13.15234375" customWidth="1"/>
    <col min="21" max="21" width="11.23046875" customWidth="1"/>
  </cols>
  <sheetData>
    <row r="1" spans="1:21" ht="18" customHeight="1">
      <c r="A1" s="75" t="s">
        <v>107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</row>
    <row r="2" spans="1:21" ht="18" customHeight="1">
      <c r="A2" s="1" t="s">
        <v>9</v>
      </c>
      <c r="B2" s="1" t="s">
        <v>4</v>
      </c>
      <c r="C2" s="2" t="s">
        <v>10</v>
      </c>
      <c r="D2" s="3" t="s">
        <v>58</v>
      </c>
      <c r="E2" s="76" t="s">
        <v>59</v>
      </c>
      <c r="F2" s="77"/>
      <c r="G2" s="77"/>
      <c r="H2" s="78"/>
      <c r="I2" s="4" t="s">
        <v>60</v>
      </c>
      <c r="J2" s="5" t="s">
        <v>61</v>
      </c>
      <c r="K2" s="6" t="s">
        <v>62</v>
      </c>
      <c r="L2" s="6" t="s">
        <v>63</v>
      </c>
      <c r="M2" s="1" t="s">
        <v>14</v>
      </c>
      <c r="N2" s="1" t="s">
        <v>15</v>
      </c>
      <c r="O2" s="1" t="s">
        <v>16</v>
      </c>
      <c r="P2" s="1" t="s">
        <v>17</v>
      </c>
      <c r="Q2" s="79" t="s">
        <v>18</v>
      </c>
      <c r="R2" s="80"/>
      <c r="S2" s="81"/>
      <c r="T2" s="7" t="s">
        <v>19</v>
      </c>
      <c r="U2" s="8" t="s">
        <v>20</v>
      </c>
    </row>
    <row r="3" spans="1:21" ht="18" customHeight="1">
      <c r="A3" s="57" t="s">
        <v>64</v>
      </c>
      <c r="B3" s="53" t="s">
        <v>65</v>
      </c>
      <c r="C3" s="62" t="s">
        <v>66</v>
      </c>
      <c r="D3" s="68" t="s">
        <v>67</v>
      </c>
      <c r="E3" s="82" t="s">
        <v>68</v>
      </c>
      <c r="F3" s="83"/>
      <c r="G3" s="83"/>
      <c r="H3" s="84"/>
      <c r="I3" s="57" t="s">
        <v>69</v>
      </c>
      <c r="J3" s="57" t="s">
        <v>70</v>
      </c>
      <c r="K3" s="53" t="s">
        <v>71</v>
      </c>
      <c r="L3" s="57" t="s">
        <v>72</v>
      </c>
      <c r="M3" s="53" t="s">
        <v>32</v>
      </c>
      <c r="N3" s="53" t="s">
        <v>33</v>
      </c>
      <c r="O3" s="53" t="s">
        <v>73</v>
      </c>
      <c r="P3" s="53" t="s">
        <v>74</v>
      </c>
      <c r="Q3" s="79" t="s">
        <v>75</v>
      </c>
      <c r="R3" s="80"/>
      <c r="S3" s="112"/>
      <c r="T3" s="87" t="s">
        <v>76</v>
      </c>
      <c r="U3" s="46" t="s">
        <v>38</v>
      </c>
    </row>
    <row r="4" spans="1:21" ht="18" customHeight="1">
      <c r="A4" s="58"/>
      <c r="B4" s="54"/>
      <c r="C4" s="63"/>
      <c r="D4" s="69"/>
      <c r="E4" s="2" t="s">
        <v>77</v>
      </c>
      <c r="F4" s="2" t="s">
        <v>78</v>
      </c>
      <c r="G4" s="2" t="s">
        <v>79</v>
      </c>
      <c r="H4" s="2" t="s">
        <v>80</v>
      </c>
      <c r="I4" s="58"/>
      <c r="J4" s="58"/>
      <c r="K4" s="54"/>
      <c r="L4" s="58"/>
      <c r="M4" s="54"/>
      <c r="N4" s="54"/>
      <c r="O4" s="54"/>
      <c r="P4" s="54"/>
      <c r="Q4" s="9" t="s">
        <v>81</v>
      </c>
      <c r="R4" s="9" t="s">
        <v>82</v>
      </c>
      <c r="S4" s="9" t="s">
        <v>83</v>
      </c>
      <c r="T4" s="87"/>
      <c r="U4" s="47"/>
    </row>
    <row r="5" spans="1:21" ht="18" customHeight="1">
      <c r="A5" s="57" t="s">
        <v>52</v>
      </c>
      <c r="B5" s="53" t="s">
        <v>41</v>
      </c>
      <c r="C5" s="64" t="s">
        <v>53</v>
      </c>
      <c r="D5" s="10" t="s">
        <v>94</v>
      </c>
      <c r="E5" s="11">
        <v>2</v>
      </c>
      <c r="F5" s="11">
        <v>2</v>
      </c>
      <c r="G5" s="11">
        <v>2</v>
      </c>
      <c r="H5" s="11">
        <v>2</v>
      </c>
      <c r="I5" s="11">
        <f t="shared" ref="I5:I7" si="0">SUM(E5:H5)</f>
        <v>8</v>
      </c>
      <c r="J5" s="50">
        <v>5</v>
      </c>
      <c r="K5" s="50">
        <f>SUM(I5:I7)</f>
        <v>24</v>
      </c>
      <c r="L5" s="50">
        <f>J5*K5</f>
        <v>120</v>
      </c>
      <c r="M5" s="50">
        <v>18.8</v>
      </c>
      <c r="N5" s="50">
        <v>17.8</v>
      </c>
      <c r="O5" s="50">
        <f>M5*J5</f>
        <v>94</v>
      </c>
      <c r="P5" s="50">
        <f>N5*J5</f>
        <v>89</v>
      </c>
      <c r="Q5" s="50">
        <v>54</v>
      </c>
      <c r="R5" s="50">
        <v>34</v>
      </c>
      <c r="S5" s="50">
        <v>55</v>
      </c>
      <c r="T5" s="45">
        <f>Q5*R5*S5/1000000</f>
        <v>0.10098</v>
      </c>
      <c r="U5" s="48">
        <f>T5*J5</f>
        <v>0.50490000000000002</v>
      </c>
    </row>
    <row r="6" spans="1:21" ht="18" customHeight="1">
      <c r="A6" s="61"/>
      <c r="B6" s="119"/>
      <c r="C6" s="65"/>
      <c r="D6" s="10" t="s">
        <v>96</v>
      </c>
      <c r="E6" s="11">
        <v>2</v>
      </c>
      <c r="F6" s="11">
        <v>2</v>
      </c>
      <c r="G6" s="11">
        <v>2</v>
      </c>
      <c r="H6" s="11">
        <v>2</v>
      </c>
      <c r="I6" s="11">
        <f t="shared" si="0"/>
        <v>8</v>
      </c>
      <c r="J6" s="51"/>
      <c r="K6" s="51"/>
      <c r="L6" s="51"/>
      <c r="M6" s="51"/>
      <c r="N6" s="51"/>
      <c r="O6" s="51"/>
      <c r="P6" s="51"/>
      <c r="Q6" s="51"/>
      <c r="R6" s="51"/>
      <c r="S6" s="51"/>
      <c r="T6" s="45"/>
      <c r="U6" s="49"/>
    </row>
    <row r="7" spans="1:21" ht="18" customHeight="1">
      <c r="A7" s="61"/>
      <c r="B7" s="119"/>
      <c r="C7" s="66"/>
      <c r="D7" s="10" t="s">
        <v>98</v>
      </c>
      <c r="E7" s="11">
        <v>2</v>
      </c>
      <c r="F7" s="11">
        <v>2</v>
      </c>
      <c r="G7" s="11">
        <v>2</v>
      </c>
      <c r="H7" s="11">
        <v>2</v>
      </c>
      <c r="I7" s="11">
        <f t="shared" si="0"/>
        <v>8</v>
      </c>
      <c r="J7" s="52"/>
      <c r="K7" s="52"/>
      <c r="L7" s="52"/>
      <c r="M7" s="52"/>
      <c r="N7" s="52"/>
      <c r="O7" s="51"/>
      <c r="P7" s="51"/>
      <c r="Q7" s="52"/>
      <c r="R7" s="52"/>
      <c r="S7" s="52"/>
      <c r="T7" s="45"/>
      <c r="U7" s="49"/>
    </row>
    <row r="8" spans="1:21" ht="18" customHeight="1">
      <c r="A8" s="13" t="s">
        <v>56</v>
      </c>
      <c r="B8" s="13"/>
      <c r="C8" s="13"/>
      <c r="D8" s="13"/>
      <c r="E8" s="14"/>
      <c r="F8" s="14"/>
      <c r="G8" s="14"/>
      <c r="H8" s="14"/>
      <c r="I8" s="11"/>
      <c r="J8" s="11">
        <f>SUM(J5:J7)</f>
        <v>5</v>
      </c>
      <c r="K8" s="11"/>
      <c r="L8" s="11">
        <f>SUM(L5:L7)</f>
        <v>120</v>
      </c>
      <c r="M8" s="11"/>
      <c r="N8" s="11"/>
      <c r="O8" s="20">
        <f>SUM(O5)</f>
        <v>94</v>
      </c>
      <c r="P8" s="20">
        <f>SUM(P5)</f>
        <v>89</v>
      </c>
      <c r="Q8" s="20"/>
      <c r="R8" s="20"/>
      <c r="S8" s="20"/>
      <c r="T8" s="37"/>
      <c r="U8" s="37">
        <f>SUM(U5:U7)</f>
        <v>0.50490000000000002</v>
      </c>
    </row>
    <row r="9" spans="1:21" ht="18" customHeight="1"/>
    <row r="10" spans="1:21" ht="18" customHeight="1"/>
    <row r="11" spans="1:21" ht="18" customHeight="1">
      <c r="A11" s="73" t="s">
        <v>85</v>
      </c>
      <c r="B11" s="73"/>
      <c r="C11" t="s">
        <v>86</v>
      </c>
      <c r="E11" t="s">
        <v>87</v>
      </c>
      <c r="H11" t="s">
        <v>88</v>
      </c>
      <c r="J11" t="s">
        <v>89</v>
      </c>
      <c r="L11" t="s">
        <v>90</v>
      </c>
      <c r="M11" s="12"/>
      <c r="N11" s="12" t="s">
        <v>91</v>
      </c>
      <c r="O11" s="12"/>
      <c r="P11" s="12" t="s">
        <v>92</v>
      </c>
      <c r="Q11" s="12"/>
      <c r="R11" s="12"/>
      <c r="S11" s="12"/>
      <c r="T11" s="12"/>
      <c r="U11" s="12"/>
    </row>
    <row r="12" spans="1:21" ht="18" customHeight="1">
      <c r="A12" s="12"/>
      <c r="B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  <row r="13" spans="1:21" ht="18" customHeight="1">
      <c r="A13" s="12"/>
      <c r="B13" s="12"/>
      <c r="L13" s="17"/>
      <c r="M13" s="12"/>
      <c r="N13" s="12"/>
      <c r="O13" s="12"/>
      <c r="P13" s="12"/>
      <c r="Q13" s="12"/>
      <c r="R13" s="12"/>
      <c r="S13" s="12"/>
      <c r="T13" s="12"/>
      <c r="U13" s="12"/>
    </row>
    <row r="14" spans="1:21" ht="18" customHeight="1">
      <c r="A14" s="12"/>
      <c r="B14" s="12"/>
      <c r="L14" s="12"/>
      <c r="M14" s="12"/>
      <c r="N14" s="12"/>
      <c r="O14" s="12"/>
      <c r="P14" s="12"/>
      <c r="Q14" s="12"/>
      <c r="R14" s="12"/>
      <c r="S14" s="12"/>
      <c r="T14" s="12"/>
      <c r="U14" s="12"/>
    </row>
    <row r="15" spans="1:21" ht="18" customHeight="1">
      <c r="A15" s="12"/>
      <c r="B15" s="12"/>
      <c r="L15" s="12"/>
      <c r="M15" s="12"/>
      <c r="N15" s="12"/>
      <c r="O15" s="12"/>
      <c r="P15" s="12"/>
      <c r="Q15" s="12"/>
      <c r="R15" s="12"/>
      <c r="S15" s="12"/>
      <c r="T15" s="12"/>
      <c r="U15" s="12"/>
    </row>
    <row r="16" spans="1:21" ht="18" customHeight="1">
      <c r="A16" s="12"/>
      <c r="B16" s="12"/>
      <c r="L16" s="12"/>
      <c r="M16" s="12"/>
      <c r="N16" s="12"/>
      <c r="O16" s="12"/>
      <c r="P16" s="12"/>
      <c r="Q16" s="12"/>
      <c r="R16" s="12"/>
      <c r="S16" s="12"/>
      <c r="T16" s="12"/>
      <c r="U16" s="12"/>
    </row>
    <row r="17" spans="1:21" ht="18" customHeight="1">
      <c r="A17" s="12"/>
      <c r="B17" s="12"/>
      <c r="L17" s="12"/>
      <c r="M17" s="12"/>
      <c r="N17" s="12"/>
      <c r="O17" s="12"/>
      <c r="P17" s="12"/>
      <c r="Q17" s="12"/>
      <c r="R17" s="12"/>
      <c r="S17" s="12"/>
      <c r="T17" s="12"/>
      <c r="U17" s="12"/>
    </row>
    <row r="18" spans="1:21" ht="18" customHeight="1">
      <c r="A18" s="12"/>
      <c r="B18" s="12"/>
      <c r="L18" s="12"/>
      <c r="M18" s="12"/>
      <c r="N18" s="12"/>
      <c r="O18" s="12"/>
      <c r="P18" s="12"/>
      <c r="Q18" s="12"/>
      <c r="R18" s="12"/>
      <c r="S18" s="12"/>
      <c r="T18" s="12"/>
      <c r="U18" s="12"/>
    </row>
    <row r="19" spans="1:21" ht="18" customHeight="1">
      <c r="A19" s="12"/>
      <c r="B19" s="12"/>
      <c r="L19" s="12"/>
      <c r="M19" s="12"/>
      <c r="N19" s="12"/>
      <c r="O19" s="12"/>
      <c r="P19" s="12"/>
      <c r="Q19" s="12"/>
      <c r="R19" s="12"/>
      <c r="S19" s="12"/>
      <c r="T19" s="12"/>
      <c r="U19" s="12"/>
    </row>
    <row r="20" spans="1:21" ht="18" customHeight="1">
      <c r="A20" s="12"/>
      <c r="B20" s="12"/>
      <c r="L20" s="12"/>
      <c r="M20" s="12"/>
      <c r="N20" s="12"/>
      <c r="O20" s="12"/>
      <c r="P20" s="12"/>
      <c r="Q20" s="12"/>
      <c r="R20" s="12"/>
      <c r="S20" s="12"/>
      <c r="T20" s="12"/>
      <c r="U20" s="12"/>
    </row>
    <row r="21" spans="1:21" ht="18" customHeight="1">
      <c r="A21" s="12"/>
      <c r="B21" s="12"/>
      <c r="L21" s="12"/>
    </row>
    <row r="22" spans="1:21" ht="18" customHeight="1">
      <c r="A22" s="12"/>
      <c r="B22" s="12"/>
    </row>
    <row r="23" spans="1:21" ht="18" customHeight="1">
      <c r="A23" s="12"/>
      <c r="B23" s="12"/>
    </row>
    <row r="24" spans="1:21" ht="18" customHeight="1">
      <c r="A24" s="12"/>
      <c r="B24" s="12"/>
      <c r="E24" s="114" t="s">
        <v>79</v>
      </c>
      <c r="F24" s="114"/>
      <c r="G24" s="17"/>
    </row>
    <row r="25" spans="1:21" ht="18" customHeight="1">
      <c r="C25" s="116" t="s">
        <v>93</v>
      </c>
      <c r="D25" s="10" t="s">
        <v>94</v>
      </c>
      <c r="E25" s="55"/>
      <c r="F25" s="56"/>
      <c r="G25" s="17"/>
    </row>
    <row r="26" spans="1:21" ht="18" customHeight="1">
      <c r="C26" s="117"/>
      <c r="D26" s="10" t="s">
        <v>96</v>
      </c>
      <c r="E26" s="55">
        <v>1</v>
      </c>
      <c r="F26" s="56">
        <v>1</v>
      </c>
      <c r="G26" s="17"/>
    </row>
    <row r="27" spans="1:21" ht="18" customHeight="1">
      <c r="C27" s="118"/>
      <c r="D27" s="10" t="s">
        <v>98</v>
      </c>
      <c r="E27" s="55"/>
      <c r="F27" s="56"/>
      <c r="G27" s="17"/>
    </row>
    <row r="28" spans="1:21" ht="18" customHeight="1"/>
    <row r="29" spans="1:21" ht="18" customHeight="1"/>
    <row r="30" spans="1:21" ht="18" customHeight="1"/>
    <row r="31" spans="1:21" ht="18" customHeight="1"/>
    <row r="32" spans="1:21" ht="18" customHeight="1"/>
    <row r="33" ht="18" customHeight="1"/>
    <row r="34" ht="18" customHeight="1"/>
    <row r="35" ht="18" customHeight="1"/>
    <row r="36" ht="18" customHeight="1"/>
    <row r="37" ht="15" customHeight="1"/>
    <row r="38" ht="15" customHeight="1"/>
    <row r="39" ht="15" customHeight="1"/>
  </sheetData>
  <mergeCells count="40">
    <mergeCell ref="A1:U1"/>
    <mergeCell ref="E2:H2"/>
    <mergeCell ref="Q2:S2"/>
    <mergeCell ref="E3:H3"/>
    <mergeCell ref="Q3:S3"/>
    <mergeCell ref="A3:A4"/>
    <mergeCell ref="D3:D4"/>
    <mergeCell ref="I3:I4"/>
    <mergeCell ref="J3:J4"/>
    <mergeCell ref="L3:L4"/>
    <mergeCell ref="N3:N4"/>
    <mergeCell ref="T3:T4"/>
    <mergeCell ref="A11:B11"/>
    <mergeCell ref="E24:F24"/>
    <mergeCell ref="E25:F25"/>
    <mergeCell ref="E26:F26"/>
    <mergeCell ref="E27:F27"/>
    <mergeCell ref="C25:C27"/>
    <mergeCell ref="A5:A7"/>
    <mergeCell ref="B3:B4"/>
    <mergeCell ref="B5:B7"/>
    <mergeCell ref="C3:C4"/>
    <mergeCell ref="C5:C7"/>
    <mergeCell ref="J5:J7"/>
    <mergeCell ref="K3:K4"/>
    <mergeCell ref="K5:K7"/>
    <mergeCell ref="L5:L7"/>
    <mergeCell ref="M3:M4"/>
    <mergeCell ref="M5:M7"/>
    <mergeCell ref="N5:N7"/>
    <mergeCell ref="O3:O4"/>
    <mergeCell ref="O5:O7"/>
    <mergeCell ref="P3:P4"/>
    <mergeCell ref="P5:P7"/>
    <mergeCell ref="T5:T7"/>
    <mergeCell ref="U3:U4"/>
    <mergeCell ref="U5:U7"/>
    <mergeCell ref="Q5:Q7"/>
    <mergeCell ref="R5:R7"/>
    <mergeCell ref="S5:S7"/>
  </mergeCells>
  <phoneticPr fontId="12" type="noConversion"/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42"/>
  <sheetViews>
    <sheetView zoomScale="85" zoomScaleNormal="85" workbookViewId="0">
      <selection activeCell="P36" sqref="P36"/>
    </sheetView>
  </sheetViews>
  <sheetFormatPr baseColWidth="10" defaultColWidth="9" defaultRowHeight="14.6"/>
  <cols>
    <col min="1" max="1" width="15.23046875" customWidth="1"/>
    <col min="2" max="2" width="13.4609375" customWidth="1"/>
    <col min="4" max="4" width="22.3828125" customWidth="1"/>
    <col min="5" max="8" width="6.61328125" customWidth="1"/>
  </cols>
  <sheetData>
    <row r="1" spans="1:21" ht="18" customHeight="1">
      <c r="A1" s="75" t="s">
        <v>107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</row>
    <row r="2" spans="1:21" ht="18" customHeight="1">
      <c r="A2" s="1" t="s">
        <v>9</v>
      </c>
      <c r="B2" s="1" t="s">
        <v>4</v>
      </c>
      <c r="C2" s="2" t="s">
        <v>10</v>
      </c>
      <c r="D2" s="3" t="s">
        <v>58</v>
      </c>
      <c r="E2" s="76" t="s">
        <v>59</v>
      </c>
      <c r="F2" s="77"/>
      <c r="G2" s="77"/>
      <c r="H2" s="78"/>
      <c r="I2" s="4" t="s">
        <v>60</v>
      </c>
      <c r="J2" s="5" t="s">
        <v>61</v>
      </c>
      <c r="K2" s="6" t="s">
        <v>62</v>
      </c>
      <c r="L2" s="6" t="s">
        <v>63</v>
      </c>
      <c r="M2" s="1" t="s">
        <v>14</v>
      </c>
      <c r="N2" s="1" t="s">
        <v>15</v>
      </c>
      <c r="O2" s="1" t="s">
        <v>16</v>
      </c>
      <c r="P2" s="1" t="s">
        <v>17</v>
      </c>
      <c r="Q2" s="79" t="s">
        <v>18</v>
      </c>
      <c r="R2" s="80"/>
      <c r="S2" s="81"/>
      <c r="T2" s="7" t="s">
        <v>19</v>
      </c>
      <c r="U2" s="8" t="s">
        <v>20</v>
      </c>
    </row>
    <row r="3" spans="1:21" ht="18" customHeight="1">
      <c r="A3" s="57" t="s">
        <v>64</v>
      </c>
      <c r="B3" s="53" t="s">
        <v>65</v>
      </c>
      <c r="C3" s="62" t="s">
        <v>66</v>
      </c>
      <c r="D3" s="68" t="s">
        <v>67</v>
      </c>
      <c r="E3" s="82" t="s">
        <v>68</v>
      </c>
      <c r="F3" s="83"/>
      <c r="G3" s="83"/>
      <c r="H3" s="84"/>
      <c r="I3" s="57" t="s">
        <v>69</v>
      </c>
      <c r="J3" s="57" t="s">
        <v>70</v>
      </c>
      <c r="K3" s="53" t="s">
        <v>71</v>
      </c>
      <c r="L3" s="57" t="s">
        <v>72</v>
      </c>
      <c r="M3" s="53" t="s">
        <v>32</v>
      </c>
      <c r="N3" s="53" t="s">
        <v>33</v>
      </c>
      <c r="O3" s="53" t="s">
        <v>73</v>
      </c>
      <c r="P3" s="53" t="s">
        <v>74</v>
      </c>
      <c r="Q3" s="79" t="s">
        <v>75</v>
      </c>
      <c r="R3" s="80"/>
      <c r="S3" s="112"/>
      <c r="T3" s="87" t="s">
        <v>76</v>
      </c>
      <c r="U3" s="46" t="s">
        <v>38</v>
      </c>
    </row>
    <row r="4" spans="1:21" ht="18" customHeight="1">
      <c r="A4" s="58"/>
      <c r="B4" s="54"/>
      <c r="C4" s="63"/>
      <c r="D4" s="69"/>
      <c r="E4" s="2" t="s">
        <v>77</v>
      </c>
      <c r="F4" s="2" t="s">
        <v>78</v>
      </c>
      <c r="G4" s="2" t="s">
        <v>79</v>
      </c>
      <c r="H4" s="2" t="s">
        <v>80</v>
      </c>
      <c r="I4" s="58"/>
      <c r="J4" s="58"/>
      <c r="K4" s="54"/>
      <c r="L4" s="58"/>
      <c r="M4" s="54"/>
      <c r="N4" s="54"/>
      <c r="O4" s="54"/>
      <c r="P4" s="54"/>
      <c r="Q4" s="9" t="s">
        <v>81</v>
      </c>
      <c r="R4" s="9" t="s">
        <v>82</v>
      </c>
      <c r="S4" s="9" t="s">
        <v>83</v>
      </c>
      <c r="T4" s="87"/>
      <c r="U4" s="47"/>
    </row>
    <row r="5" spans="1:21" ht="18" customHeight="1">
      <c r="A5" s="57" t="s">
        <v>54</v>
      </c>
      <c r="B5" s="53" t="s">
        <v>41</v>
      </c>
      <c r="C5" s="64" t="s">
        <v>53</v>
      </c>
      <c r="D5" s="41" t="s">
        <v>108</v>
      </c>
      <c r="E5" s="11">
        <v>2</v>
      </c>
      <c r="F5" s="11">
        <v>2</v>
      </c>
      <c r="G5" s="11">
        <v>2</v>
      </c>
      <c r="H5" s="11">
        <v>2</v>
      </c>
      <c r="I5" s="11">
        <f t="shared" ref="I5:I10" si="0">SUM(E5:H5)</f>
        <v>8</v>
      </c>
      <c r="J5" s="50">
        <v>9</v>
      </c>
      <c r="K5" s="50">
        <f>SUM(I5:I7)</f>
        <v>24</v>
      </c>
      <c r="L5" s="50">
        <f>J5*K5</f>
        <v>216</v>
      </c>
      <c r="M5" s="50">
        <v>18.8</v>
      </c>
      <c r="N5" s="50">
        <v>17.8</v>
      </c>
      <c r="O5" s="50">
        <f>J5*M5+M8</f>
        <v>182.8</v>
      </c>
      <c r="P5" s="50">
        <f>J5*N5+N8</f>
        <v>172.8</v>
      </c>
      <c r="Q5" s="50">
        <v>54</v>
      </c>
      <c r="R5" s="50">
        <v>34</v>
      </c>
      <c r="S5" s="50">
        <v>55</v>
      </c>
      <c r="T5" s="45">
        <f>Q5*R5*S5/1000000</f>
        <v>0.10098</v>
      </c>
      <c r="U5" s="48">
        <f>Q5*R5*S5/1000000*J5+Q8*R8*S8/1000000*J8</f>
        <v>0.98225999999999991</v>
      </c>
    </row>
    <row r="6" spans="1:21" ht="18" customHeight="1">
      <c r="A6" s="61"/>
      <c r="B6" s="119"/>
      <c r="C6" s="65"/>
      <c r="D6" s="41" t="s">
        <v>109</v>
      </c>
      <c r="E6" s="11">
        <v>2</v>
      </c>
      <c r="F6" s="11">
        <v>2</v>
      </c>
      <c r="G6" s="11">
        <v>2</v>
      </c>
      <c r="H6" s="11">
        <v>2</v>
      </c>
      <c r="I6" s="11">
        <f t="shared" si="0"/>
        <v>8</v>
      </c>
      <c r="J6" s="51"/>
      <c r="K6" s="51"/>
      <c r="L6" s="51"/>
      <c r="M6" s="51"/>
      <c r="N6" s="51"/>
      <c r="O6" s="51"/>
      <c r="P6" s="51"/>
      <c r="Q6" s="51"/>
      <c r="R6" s="51"/>
      <c r="S6" s="51"/>
      <c r="T6" s="45"/>
      <c r="U6" s="49"/>
    </row>
    <row r="7" spans="1:21" ht="18" customHeight="1">
      <c r="A7" s="61"/>
      <c r="B7" s="119"/>
      <c r="C7" s="66"/>
      <c r="D7" s="41" t="s">
        <v>110</v>
      </c>
      <c r="E7" s="11">
        <v>2</v>
      </c>
      <c r="F7" s="11">
        <v>2</v>
      </c>
      <c r="G7" s="11">
        <v>2</v>
      </c>
      <c r="H7" s="11">
        <v>2</v>
      </c>
      <c r="I7" s="11">
        <f t="shared" si="0"/>
        <v>8</v>
      </c>
      <c r="J7" s="52"/>
      <c r="K7" s="52"/>
      <c r="L7" s="52"/>
      <c r="M7" s="52"/>
      <c r="N7" s="52"/>
      <c r="O7" s="51"/>
      <c r="P7" s="51"/>
      <c r="Q7" s="52"/>
      <c r="R7" s="52"/>
      <c r="S7" s="52"/>
      <c r="T7" s="45"/>
      <c r="U7" s="49"/>
    </row>
    <row r="8" spans="1:21" ht="18" customHeight="1">
      <c r="A8" s="61"/>
      <c r="B8" s="119"/>
      <c r="C8" s="50">
        <v>13</v>
      </c>
      <c r="D8" s="41" t="s">
        <v>108</v>
      </c>
      <c r="E8" s="11">
        <v>2</v>
      </c>
      <c r="F8" s="11">
        <v>1</v>
      </c>
      <c r="G8" s="11">
        <v>2</v>
      </c>
      <c r="H8" s="11">
        <v>2</v>
      </c>
      <c r="I8" s="11">
        <f t="shared" si="0"/>
        <v>7</v>
      </c>
      <c r="J8" s="50">
        <v>1</v>
      </c>
      <c r="K8" s="50">
        <f>SUM(I8:I10)</f>
        <v>17</v>
      </c>
      <c r="L8" s="50">
        <f>J8*K8</f>
        <v>17</v>
      </c>
      <c r="M8" s="50">
        <v>13.6</v>
      </c>
      <c r="N8" s="50">
        <v>12.6</v>
      </c>
      <c r="O8" s="51"/>
      <c r="P8" s="51"/>
      <c r="Q8" s="50">
        <v>54</v>
      </c>
      <c r="R8" s="50">
        <v>34</v>
      </c>
      <c r="S8" s="50">
        <v>40</v>
      </c>
      <c r="T8" s="45">
        <f>Q8*R8*S8/1000000</f>
        <v>7.3440000000000005E-2</v>
      </c>
      <c r="U8" s="49"/>
    </row>
    <row r="9" spans="1:21" ht="18" customHeight="1">
      <c r="A9" s="61"/>
      <c r="B9" s="119"/>
      <c r="C9" s="65"/>
      <c r="D9" s="41" t="s">
        <v>109</v>
      </c>
      <c r="E9" s="11">
        <v>3</v>
      </c>
      <c r="F9" s="11">
        <v>2</v>
      </c>
      <c r="G9" s="11" t="s">
        <v>84</v>
      </c>
      <c r="H9" s="11">
        <v>3</v>
      </c>
      <c r="I9" s="11">
        <f t="shared" si="0"/>
        <v>8</v>
      </c>
      <c r="J9" s="51"/>
      <c r="K9" s="51"/>
      <c r="L9" s="51"/>
      <c r="M9" s="51"/>
      <c r="N9" s="51"/>
      <c r="O9" s="51"/>
      <c r="P9" s="51"/>
      <c r="Q9" s="51"/>
      <c r="R9" s="51"/>
      <c r="S9" s="51"/>
      <c r="T9" s="45"/>
      <c r="U9" s="49"/>
    </row>
    <row r="10" spans="1:21" ht="18" customHeight="1">
      <c r="A10" s="58"/>
      <c r="B10" s="54"/>
      <c r="C10" s="66"/>
      <c r="D10" s="41" t="s">
        <v>110</v>
      </c>
      <c r="E10" s="11">
        <v>1</v>
      </c>
      <c r="F10" s="11" t="s">
        <v>84</v>
      </c>
      <c r="G10" s="11" t="s">
        <v>84</v>
      </c>
      <c r="H10" s="11">
        <v>1</v>
      </c>
      <c r="I10" s="11">
        <f t="shared" si="0"/>
        <v>2</v>
      </c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45"/>
      <c r="U10" s="108"/>
    </row>
    <row r="11" spans="1:21" ht="18" customHeight="1">
      <c r="A11" s="13" t="s">
        <v>56</v>
      </c>
      <c r="B11" s="13"/>
      <c r="C11" s="13"/>
      <c r="D11" s="13"/>
      <c r="E11" s="14"/>
      <c r="F11" s="14"/>
      <c r="G11" s="14"/>
      <c r="H11" s="14"/>
      <c r="I11" s="11"/>
      <c r="J11" s="11">
        <f t="shared" ref="J11:P11" si="1">SUM(J5:J10)</f>
        <v>10</v>
      </c>
      <c r="K11" s="11"/>
      <c r="L11" s="11">
        <f t="shared" si="1"/>
        <v>233</v>
      </c>
      <c r="M11" s="11"/>
      <c r="N11" s="11"/>
      <c r="O11" s="11">
        <f t="shared" si="1"/>
        <v>182.8</v>
      </c>
      <c r="P11" s="11">
        <f t="shared" si="1"/>
        <v>172.8</v>
      </c>
      <c r="Q11" s="11"/>
      <c r="R11" s="11"/>
      <c r="S11" s="11"/>
      <c r="T11" s="37"/>
      <c r="U11" s="37">
        <f>SUM(U5:U10)</f>
        <v>0.98225999999999991</v>
      </c>
    </row>
    <row r="12" spans="1:21" ht="18" customHeight="1"/>
    <row r="13" spans="1:21" ht="18" customHeight="1"/>
    <row r="14" spans="1:21" ht="18" customHeight="1">
      <c r="A14" s="73" t="s">
        <v>85</v>
      </c>
      <c r="B14" s="73"/>
      <c r="C14" t="s">
        <v>86</v>
      </c>
      <c r="E14" t="s">
        <v>87</v>
      </c>
      <c r="H14" t="s">
        <v>88</v>
      </c>
      <c r="J14" t="s">
        <v>89</v>
      </c>
      <c r="L14" t="s">
        <v>90</v>
      </c>
      <c r="M14" s="12"/>
      <c r="N14" s="12" t="s">
        <v>91</v>
      </c>
      <c r="O14" s="12"/>
      <c r="P14" s="12" t="s">
        <v>92</v>
      </c>
      <c r="Q14" s="12"/>
      <c r="R14" s="12"/>
      <c r="S14" s="12"/>
      <c r="T14" s="12"/>
      <c r="U14" s="12"/>
    </row>
    <row r="15" spans="1:21" ht="18" customHeight="1">
      <c r="A15" s="12"/>
      <c r="B15" s="12"/>
      <c r="L15" s="12"/>
      <c r="M15" s="12"/>
      <c r="N15" s="12"/>
      <c r="O15" s="12"/>
      <c r="P15" s="12"/>
      <c r="Q15" s="12"/>
      <c r="R15" s="12"/>
      <c r="S15" s="12"/>
      <c r="T15" s="12"/>
      <c r="U15" s="12"/>
    </row>
    <row r="16" spans="1:21" ht="18" customHeight="1">
      <c r="A16" s="12"/>
      <c r="B16" s="12"/>
      <c r="L16" s="17"/>
      <c r="M16" s="12"/>
      <c r="N16" s="12"/>
      <c r="O16" s="12"/>
      <c r="P16" s="12"/>
      <c r="Q16" s="12"/>
      <c r="R16" s="12"/>
      <c r="S16" s="12"/>
      <c r="T16" s="12"/>
      <c r="U16" s="12"/>
    </row>
    <row r="17" spans="1:21" ht="18" customHeight="1">
      <c r="A17" s="12"/>
      <c r="B17" s="12"/>
      <c r="L17" s="12"/>
      <c r="M17" s="12"/>
      <c r="N17" s="12"/>
      <c r="O17" s="12"/>
      <c r="P17" s="12"/>
      <c r="Q17" s="12"/>
      <c r="R17" s="12"/>
      <c r="S17" s="12"/>
      <c r="T17" s="12"/>
      <c r="U17" s="12"/>
    </row>
    <row r="18" spans="1:21" ht="18" customHeight="1">
      <c r="A18" s="12"/>
      <c r="B18" s="12"/>
      <c r="L18" s="12"/>
      <c r="M18" s="12"/>
      <c r="N18" s="12"/>
      <c r="O18" s="12"/>
      <c r="P18" s="12"/>
      <c r="Q18" s="12"/>
      <c r="R18" s="12"/>
      <c r="S18" s="12"/>
      <c r="T18" s="12"/>
      <c r="U18" s="12"/>
    </row>
    <row r="19" spans="1:21" ht="18" customHeight="1">
      <c r="A19" s="12"/>
      <c r="B19" s="12"/>
      <c r="L19" s="12"/>
      <c r="M19" s="12"/>
      <c r="N19" s="12"/>
      <c r="O19" s="12"/>
      <c r="P19" s="12"/>
      <c r="Q19" s="12"/>
      <c r="R19" s="12"/>
      <c r="S19" s="12"/>
      <c r="T19" s="12"/>
      <c r="U19" s="12"/>
    </row>
    <row r="20" spans="1:21" ht="18" customHeight="1">
      <c r="A20" s="12"/>
      <c r="B20" s="12"/>
      <c r="L20" s="12"/>
      <c r="M20" s="12"/>
      <c r="N20" s="12"/>
      <c r="O20" s="12"/>
      <c r="P20" s="12"/>
      <c r="Q20" s="12"/>
      <c r="R20" s="12"/>
      <c r="S20" s="12"/>
      <c r="T20" s="12"/>
      <c r="U20" s="12"/>
    </row>
    <row r="21" spans="1:21" ht="18" customHeight="1">
      <c r="A21" s="12"/>
      <c r="B21" s="12"/>
      <c r="L21" s="12"/>
      <c r="M21" s="12"/>
      <c r="N21" s="12"/>
      <c r="O21" s="12"/>
      <c r="P21" s="12"/>
      <c r="Q21" s="12"/>
      <c r="R21" s="12"/>
      <c r="S21" s="12"/>
      <c r="T21" s="12"/>
      <c r="U21" s="12"/>
    </row>
    <row r="22" spans="1:21" ht="18" customHeight="1">
      <c r="A22" s="12"/>
      <c r="B22" s="12"/>
      <c r="L22" s="12"/>
      <c r="M22" s="12"/>
      <c r="N22" s="12"/>
      <c r="O22" s="12"/>
      <c r="P22" s="12"/>
      <c r="Q22" s="12"/>
      <c r="R22" s="12"/>
      <c r="S22" s="12"/>
      <c r="T22" s="12"/>
      <c r="U22" s="12"/>
    </row>
    <row r="23" spans="1:21" ht="18" customHeight="1">
      <c r="A23" s="12"/>
      <c r="B23" s="12"/>
      <c r="L23" s="12"/>
      <c r="M23" s="12"/>
      <c r="N23" s="12"/>
      <c r="O23" s="12"/>
      <c r="P23" s="12"/>
      <c r="Q23" s="12"/>
      <c r="R23" s="12"/>
      <c r="S23" s="12"/>
      <c r="T23" s="12"/>
      <c r="U23" s="12"/>
    </row>
    <row r="24" spans="1:21" ht="18" customHeight="1">
      <c r="A24" s="12"/>
      <c r="B24" s="12"/>
      <c r="L24" s="12"/>
      <c r="M24" s="12"/>
      <c r="N24" s="12"/>
      <c r="O24" s="12"/>
      <c r="P24" s="12"/>
      <c r="Q24" s="12"/>
      <c r="R24" s="12"/>
      <c r="S24" s="12"/>
      <c r="T24" s="12"/>
    </row>
    <row r="25" spans="1:21" ht="18" customHeight="1">
      <c r="A25" s="12"/>
      <c r="B25" s="12"/>
      <c r="M25" s="12"/>
      <c r="N25" s="12"/>
      <c r="O25" s="12"/>
      <c r="P25" s="12"/>
      <c r="Q25" s="12"/>
      <c r="R25" s="12"/>
      <c r="S25" s="12"/>
      <c r="T25" s="12"/>
    </row>
    <row r="26" spans="1:21" ht="18" customHeight="1">
      <c r="A26" s="12"/>
      <c r="B26" s="12"/>
    </row>
    <row r="27" spans="1:21" ht="18" customHeight="1">
      <c r="A27" s="12"/>
      <c r="B27" s="12"/>
      <c r="E27" s="74" t="s">
        <v>78</v>
      </c>
      <c r="F27" s="74"/>
      <c r="G27" s="16"/>
    </row>
    <row r="28" spans="1:21" ht="18" customHeight="1">
      <c r="C28" s="116" t="s">
        <v>93</v>
      </c>
      <c r="D28" s="18" t="s">
        <v>108</v>
      </c>
      <c r="E28" s="55"/>
      <c r="F28" s="56"/>
      <c r="G28" s="17"/>
    </row>
    <row r="29" spans="1:21" ht="18" customHeight="1">
      <c r="C29" s="117"/>
      <c r="D29" s="18" t="s">
        <v>109</v>
      </c>
      <c r="E29" s="55">
        <v>1</v>
      </c>
      <c r="F29" s="56">
        <v>1</v>
      </c>
      <c r="G29" s="17"/>
    </row>
    <row r="30" spans="1:21" ht="18" customHeight="1">
      <c r="C30" s="118"/>
      <c r="D30" s="18" t="s">
        <v>110</v>
      </c>
      <c r="E30" s="55"/>
      <c r="F30" s="56"/>
      <c r="G30" s="17"/>
    </row>
    <row r="31" spans="1:21" ht="18" customHeight="1"/>
    <row r="32" spans="1:21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</sheetData>
  <mergeCells count="50">
    <mergeCell ref="A1:U1"/>
    <mergeCell ref="E2:H2"/>
    <mergeCell ref="Q2:S2"/>
    <mergeCell ref="E3:H3"/>
    <mergeCell ref="Q3:S3"/>
    <mergeCell ref="A3:A4"/>
    <mergeCell ref="D3:D4"/>
    <mergeCell ref="I3:I4"/>
    <mergeCell ref="J3:J4"/>
    <mergeCell ref="L3:L4"/>
    <mergeCell ref="N3:N4"/>
    <mergeCell ref="T3:T4"/>
    <mergeCell ref="A14:B14"/>
    <mergeCell ref="E27:F27"/>
    <mergeCell ref="E28:F28"/>
    <mergeCell ref="E29:F29"/>
    <mergeCell ref="E30:F30"/>
    <mergeCell ref="C28:C30"/>
    <mergeCell ref="A5:A10"/>
    <mergeCell ref="B3:B4"/>
    <mergeCell ref="B5:B10"/>
    <mergeCell ref="C3:C4"/>
    <mergeCell ref="C5:C7"/>
    <mergeCell ref="C8:C10"/>
    <mergeCell ref="J5:J7"/>
    <mergeCell ref="J8:J10"/>
    <mergeCell ref="K3:K4"/>
    <mergeCell ref="K5:K7"/>
    <mergeCell ref="K8:K10"/>
    <mergeCell ref="L5:L7"/>
    <mergeCell ref="L8:L10"/>
    <mergeCell ref="M3:M4"/>
    <mergeCell ref="M5:M7"/>
    <mergeCell ref="M8:M10"/>
    <mergeCell ref="N5:N7"/>
    <mergeCell ref="N8:N10"/>
    <mergeCell ref="O3:O4"/>
    <mergeCell ref="O5:O10"/>
    <mergeCell ref="P3:P4"/>
    <mergeCell ref="P5:P10"/>
    <mergeCell ref="T5:T7"/>
    <mergeCell ref="T8:T10"/>
    <mergeCell ref="U3:U4"/>
    <mergeCell ref="U5:U10"/>
    <mergeCell ref="Q5:Q7"/>
    <mergeCell ref="Q8:Q10"/>
    <mergeCell ref="R5:R7"/>
    <mergeCell ref="R8:R10"/>
    <mergeCell ref="S5:S7"/>
    <mergeCell ref="S8:S10"/>
  </mergeCells>
  <phoneticPr fontId="12" type="noConversion"/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W40"/>
  <sheetViews>
    <sheetView zoomScale="85" zoomScaleNormal="85" workbookViewId="0">
      <selection activeCell="T24" sqref="T24"/>
    </sheetView>
  </sheetViews>
  <sheetFormatPr baseColWidth="10" defaultColWidth="9" defaultRowHeight="14.6"/>
  <cols>
    <col min="1" max="1" width="13.61328125" customWidth="1"/>
    <col min="2" max="2" width="12.69140625" customWidth="1"/>
    <col min="4" max="4" width="12.61328125" customWidth="1"/>
    <col min="17" max="19" width="4.61328125" customWidth="1"/>
    <col min="20" max="20" width="11.69140625" customWidth="1"/>
    <col min="21" max="21" width="10.69140625" customWidth="1"/>
  </cols>
  <sheetData>
    <row r="1" spans="1:23" ht="15">
      <c r="A1" s="75" t="s">
        <v>111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</row>
    <row r="2" spans="1:23" ht="18" customHeight="1">
      <c r="A2" s="1" t="s">
        <v>9</v>
      </c>
      <c r="B2" s="1" t="s">
        <v>4</v>
      </c>
      <c r="C2" s="2" t="s">
        <v>10</v>
      </c>
      <c r="D2" s="3" t="s">
        <v>58</v>
      </c>
      <c r="E2" s="76" t="s">
        <v>59</v>
      </c>
      <c r="F2" s="77"/>
      <c r="G2" s="77"/>
      <c r="H2" s="78"/>
      <c r="I2" s="4" t="s">
        <v>60</v>
      </c>
      <c r="J2" s="5" t="s">
        <v>61</v>
      </c>
      <c r="K2" s="6" t="s">
        <v>62</v>
      </c>
      <c r="L2" s="6" t="s">
        <v>63</v>
      </c>
      <c r="M2" s="1" t="s">
        <v>14</v>
      </c>
      <c r="N2" s="1" t="s">
        <v>15</v>
      </c>
      <c r="O2" s="1" t="s">
        <v>16</v>
      </c>
      <c r="P2" s="1" t="s">
        <v>17</v>
      </c>
      <c r="Q2" s="79" t="s">
        <v>18</v>
      </c>
      <c r="R2" s="80"/>
      <c r="S2" s="81"/>
      <c r="T2" s="7" t="s">
        <v>19</v>
      </c>
      <c r="U2" s="8" t="s">
        <v>20</v>
      </c>
    </row>
    <row r="3" spans="1:23" ht="18" customHeight="1">
      <c r="A3" s="57" t="s">
        <v>64</v>
      </c>
      <c r="B3" s="53" t="s">
        <v>65</v>
      </c>
      <c r="C3" s="62" t="s">
        <v>66</v>
      </c>
      <c r="D3" s="68" t="s">
        <v>67</v>
      </c>
      <c r="E3" s="82" t="s">
        <v>68</v>
      </c>
      <c r="F3" s="83"/>
      <c r="G3" s="83"/>
      <c r="H3" s="84"/>
      <c r="I3" s="57" t="s">
        <v>69</v>
      </c>
      <c r="J3" s="57" t="s">
        <v>70</v>
      </c>
      <c r="K3" s="53" t="s">
        <v>71</v>
      </c>
      <c r="L3" s="57" t="s">
        <v>72</v>
      </c>
      <c r="M3" s="53" t="s">
        <v>32</v>
      </c>
      <c r="N3" s="53" t="s">
        <v>33</v>
      </c>
      <c r="O3" s="53" t="s">
        <v>73</v>
      </c>
      <c r="P3" s="53" t="s">
        <v>74</v>
      </c>
      <c r="Q3" s="85" t="s">
        <v>75</v>
      </c>
      <c r="R3" s="85"/>
      <c r="S3" s="86"/>
      <c r="T3" s="87" t="s">
        <v>76</v>
      </c>
      <c r="U3" s="46" t="s">
        <v>38</v>
      </c>
    </row>
    <row r="4" spans="1:23" ht="18" customHeight="1">
      <c r="A4" s="58"/>
      <c r="B4" s="54"/>
      <c r="C4" s="63"/>
      <c r="D4" s="69"/>
      <c r="E4" s="2" t="s">
        <v>77</v>
      </c>
      <c r="F4" s="2" t="s">
        <v>78</v>
      </c>
      <c r="G4" s="2" t="s">
        <v>79</v>
      </c>
      <c r="H4" s="2" t="s">
        <v>80</v>
      </c>
      <c r="I4" s="58"/>
      <c r="J4" s="58"/>
      <c r="K4" s="54"/>
      <c r="L4" s="58"/>
      <c r="M4" s="54"/>
      <c r="N4" s="54"/>
      <c r="O4" s="54"/>
      <c r="P4" s="54"/>
      <c r="Q4" s="9" t="s">
        <v>81</v>
      </c>
      <c r="R4" s="9" t="s">
        <v>82</v>
      </c>
      <c r="S4" s="9" t="s">
        <v>83</v>
      </c>
      <c r="T4" s="87"/>
      <c r="U4" s="47"/>
    </row>
    <row r="5" spans="1:23" ht="18" customHeight="1">
      <c r="A5" s="59" t="s">
        <v>55</v>
      </c>
      <c r="B5" s="57" t="s">
        <v>41</v>
      </c>
      <c r="C5" s="64" t="s">
        <v>115</v>
      </c>
      <c r="D5" s="42" t="s">
        <v>99</v>
      </c>
      <c r="E5" s="11">
        <v>2</v>
      </c>
      <c r="F5" s="11">
        <v>2</v>
      </c>
      <c r="G5" s="11">
        <v>2</v>
      </c>
      <c r="H5" s="11">
        <v>2</v>
      </c>
      <c r="I5" s="11">
        <f t="shared" ref="I5:I7" si="0">SUM(E5:H5)</f>
        <v>8</v>
      </c>
      <c r="J5" s="50">
        <v>1</v>
      </c>
      <c r="K5" s="50">
        <f>SUM(I5:I7)</f>
        <v>27</v>
      </c>
      <c r="L5" s="50">
        <f>J5*K5</f>
        <v>27</v>
      </c>
      <c r="M5" s="50">
        <v>19.8</v>
      </c>
      <c r="N5" s="50">
        <v>18.899999999999999</v>
      </c>
      <c r="O5" s="50">
        <f>M5*J5</f>
        <v>19.8</v>
      </c>
      <c r="P5" s="50">
        <f>N5*J5</f>
        <v>18.899999999999999</v>
      </c>
      <c r="Q5" s="50">
        <v>54</v>
      </c>
      <c r="R5" s="50">
        <v>34</v>
      </c>
      <c r="S5" s="50">
        <v>55</v>
      </c>
      <c r="T5" s="45">
        <f>Q5*R5*S5/1000000</f>
        <v>0.10098</v>
      </c>
      <c r="U5" s="48">
        <f>T5*J5</f>
        <v>0.10098</v>
      </c>
      <c r="V5" s="12"/>
    </row>
    <row r="6" spans="1:23" ht="18" customHeight="1">
      <c r="A6" s="60"/>
      <c r="B6" s="61"/>
      <c r="C6" s="65"/>
      <c r="D6" s="42" t="s">
        <v>112</v>
      </c>
      <c r="E6" s="11">
        <v>2</v>
      </c>
      <c r="F6" s="11">
        <v>4</v>
      </c>
      <c r="G6" s="11">
        <v>3</v>
      </c>
      <c r="H6" s="11">
        <v>3</v>
      </c>
      <c r="I6" s="11">
        <f t="shared" si="0"/>
        <v>12</v>
      </c>
      <c r="J6" s="51"/>
      <c r="K6" s="51"/>
      <c r="L6" s="51"/>
      <c r="M6" s="51"/>
      <c r="N6" s="51"/>
      <c r="O6" s="51"/>
      <c r="P6" s="51"/>
      <c r="Q6" s="51"/>
      <c r="R6" s="51"/>
      <c r="S6" s="51"/>
      <c r="T6" s="45"/>
      <c r="U6" s="49"/>
      <c r="V6" s="12"/>
    </row>
    <row r="7" spans="1:23" ht="18" customHeight="1">
      <c r="A7" s="60"/>
      <c r="B7" s="61"/>
      <c r="C7" s="66"/>
      <c r="D7" s="42" t="s">
        <v>96</v>
      </c>
      <c r="E7" s="11">
        <v>2</v>
      </c>
      <c r="F7" s="11">
        <v>2</v>
      </c>
      <c r="G7" s="11">
        <v>2</v>
      </c>
      <c r="H7" s="11">
        <v>1</v>
      </c>
      <c r="I7" s="11">
        <f t="shared" si="0"/>
        <v>7</v>
      </c>
      <c r="J7" s="52"/>
      <c r="K7" s="52"/>
      <c r="L7" s="52"/>
      <c r="M7" s="52"/>
      <c r="N7" s="52"/>
      <c r="O7" s="51"/>
      <c r="P7" s="51"/>
      <c r="Q7" s="52"/>
      <c r="R7" s="52"/>
      <c r="S7" s="52"/>
      <c r="T7" s="45"/>
      <c r="U7" s="49"/>
      <c r="V7" s="12"/>
    </row>
    <row r="8" spans="1:23" ht="18" customHeight="1">
      <c r="A8" s="13" t="s">
        <v>56</v>
      </c>
      <c r="B8" s="13"/>
      <c r="C8" s="14"/>
      <c r="D8" s="14"/>
      <c r="E8" s="70"/>
      <c r="F8" s="71"/>
      <c r="G8" s="71"/>
      <c r="H8" s="72"/>
      <c r="I8" s="11"/>
      <c r="J8" s="11">
        <f>SUM(J5:J7)</f>
        <v>1</v>
      </c>
      <c r="K8" s="11"/>
      <c r="L8" s="11">
        <f>SUM(L5:L7)</f>
        <v>27</v>
      </c>
      <c r="M8" s="11"/>
      <c r="N8" s="11"/>
      <c r="O8" s="20">
        <f>SUM(O5)</f>
        <v>19.8</v>
      </c>
      <c r="P8" s="20">
        <f>SUM(P5)</f>
        <v>18.899999999999999</v>
      </c>
      <c r="Q8" s="20"/>
      <c r="R8" s="20"/>
      <c r="S8" s="20"/>
      <c r="T8" s="37"/>
      <c r="U8" s="37">
        <f>SUM(U5:U7)</f>
        <v>0.10098</v>
      </c>
      <c r="V8" s="12"/>
    </row>
    <row r="9" spans="1:23" ht="18" customHeight="1"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</row>
    <row r="10" spans="1:23" ht="18" customHeight="1"/>
    <row r="11" spans="1:23" ht="18" customHeight="1">
      <c r="A11" s="73" t="s">
        <v>85</v>
      </c>
      <c r="B11" s="73"/>
      <c r="C11" t="s">
        <v>86</v>
      </c>
      <c r="E11" t="s">
        <v>87</v>
      </c>
      <c r="H11" t="s">
        <v>88</v>
      </c>
      <c r="J11" t="s">
        <v>89</v>
      </c>
      <c r="L11" t="s">
        <v>90</v>
      </c>
      <c r="N11" t="s">
        <v>91</v>
      </c>
      <c r="P11" t="s">
        <v>92</v>
      </c>
      <c r="U11" s="12"/>
      <c r="V11" s="12"/>
      <c r="W11" s="12"/>
    </row>
    <row r="12" spans="1:23" ht="18" customHeight="1">
      <c r="A12" s="15"/>
      <c r="B12" s="15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</row>
    <row r="13" spans="1:23" ht="18" customHeight="1">
      <c r="A13" s="15"/>
      <c r="B13" s="15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</row>
    <row r="14" spans="1:23" ht="18" customHeight="1">
      <c r="A14" s="15"/>
      <c r="B14" s="15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</row>
    <row r="15" spans="1:23" ht="18" customHeight="1">
      <c r="A15" s="15"/>
      <c r="B15" s="15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</row>
    <row r="16" spans="1:23" ht="18" customHeight="1">
      <c r="A16" s="15"/>
      <c r="B16" s="15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</row>
    <row r="17" spans="1:23" ht="18" customHeight="1">
      <c r="A17" s="15"/>
      <c r="B17" s="15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</row>
    <row r="18" spans="1:23" ht="18" customHeight="1">
      <c r="A18" s="15"/>
      <c r="B18" s="15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</row>
    <row r="19" spans="1:23" ht="18" customHeight="1">
      <c r="A19" s="15"/>
      <c r="B19" s="15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</row>
    <row r="20" spans="1:23" ht="18" customHeight="1">
      <c r="A20" s="15"/>
      <c r="B20" s="15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</row>
    <row r="21" spans="1:23" ht="18" customHeight="1">
      <c r="A21" s="12"/>
      <c r="B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</row>
    <row r="22" spans="1:23" ht="18" customHeight="1">
      <c r="A22" s="12"/>
      <c r="B22" s="12"/>
      <c r="L22" s="12"/>
      <c r="N22" s="12"/>
      <c r="O22" s="12"/>
      <c r="P22" s="12"/>
      <c r="Q22" s="12"/>
      <c r="R22" s="12"/>
      <c r="S22" s="12"/>
      <c r="T22" s="12"/>
      <c r="U22" s="12"/>
    </row>
    <row r="23" spans="1:23" ht="18" customHeight="1">
      <c r="A23" s="12"/>
      <c r="B23" s="12"/>
      <c r="C23" s="12"/>
      <c r="L23" s="12"/>
    </row>
    <row r="24" spans="1:23" ht="18" customHeight="1">
      <c r="A24" s="12"/>
      <c r="B24" s="12"/>
      <c r="C24" s="12"/>
      <c r="L24" s="12"/>
    </row>
    <row r="25" spans="1:23" ht="18" customHeight="1">
      <c r="A25" s="12"/>
      <c r="B25" s="12"/>
      <c r="C25" s="12"/>
      <c r="L25" s="12"/>
    </row>
    <row r="26" spans="1:23" ht="18" customHeight="1">
      <c r="A26" s="12"/>
      <c r="B26" s="12"/>
      <c r="C26" s="12"/>
      <c r="E26" s="74" t="s">
        <v>80</v>
      </c>
      <c r="F26" s="74"/>
      <c r="G26" s="16"/>
    </row>
    <row r="27" spans="1:23" ht="18" customHeight="1">
      <c r="C27" s="67" t="s">
        <v>93</v>
      </c>
      <c r="D27" s="10" t="s">
        <v>99</v>
      </c>
      <c r="E27" s="55"/>
      <c r="F27" s="56"/>
      <c r="G27" s="17"/>
    </row>
    <row r="28" spans="1:23" ht="18" customHeight="1">
      <c r="C28" s="67"/>
      <c r="D28" s="10" t="s">
        <v>112</v>
      </c>
      <c r="E28" s="55"/>
      <c r="F28" s="56"/>
      <c r="G28" s="17"/>
    </row>
    <row r="29" spans="1:23" ht="18" customHeight="1">
      <c r="C29" s="67"/>
      <c r="D29" s="10" t="s">
        <v>96</v>
      </c>
      <c r="E29" s="55">
        <v>1</v>
      </c>
      <c r="F29" s="56"/>
      <c r="G29" s="17"/>
    </row>
    <row r="30" spans="1:23" ht="18" customHeight="1"/>
    <row r="31" spans="1:23" ht="18" customHeight="1"/>
    <row r="32" spans="1:23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</sheetData>
  <mergeCells count="41">
    <mergeCell ref="A1:U1"/>
    <mergeCell ref="E2:H2"/>
    <mergeCell ref="Q2:S2"/>
    <mergeCell ref="E3:H3"/>
    <mergeCell ref="Q3:S3"/>
    <mergeCell ref="I3:I4"/>
    <mergeCell ref="J3:J4"/>
    <mergeCell ref="L3:L4"/>
    <mergeCell ref="N3:N4"/>
    <mergeCell ref="T3:T4"/>
    <mergeCell ref="E29:F29"/>
    <mergeCell ref="A3:A4"/>
    <mergeCell ref="A5:A7"/>
    <mergeCell ref="B3:B4"/>
    <mergeCell ref="B5:B7"/>
    <mergeCell ref="C3:C4"/>
    <mergeCell ref="C5:C7"/>
    <mergeCell ref="C27:C29"/>
    <mergeCell ref="D3:D4"/>
    <mergeCell ref="E8:H8"/>
    <mergeCell ref="A11:B11"/>
    <mergeCell ref="E26:F26"/>
    <mergeCell ref="E27:F27"/>
    <mergeCell ref="E28:F28"/>
    <mergeCell ref="J5:J7"/>
    <mergeCell ref="K3:K4"/>
    <mergeCell ref="K5:K7"/>
    <mergeCell ref="L5:L7"/>
    <mergeCell ref="M3:M4"/>
    <mergeCell ref="M5:M7"/>
    <mergeCell ref="N5:N7"/>
    <mergeCell ref="O3:O4"/>
    <mergeCell ref="O5:O7"/>
    <mergeCell ref="P3:P4"/>
    <mergeCell ref="P5:P7"/>
    <mergeCell ref="T5:T7"/>
    <mergeCell ref="U3:U4"/>
    <mergeCell ref="U5:U7"/>
    <mergeCell ref="Q5:Q7"/>
    <mergeCell ref="R5:R7"/>
    <mergeCell ref="S5:S7"/>
  </mergeCells>
  <phoneticPr fontId="12" type="noConversion"/>
  <pageMargins left="0.70866141732283505" right="0.70866141732283505" top="0.74803149606299202" bottom="0.74803149606299202" header="0.31496062992126" footer="0.31496062992126"/>
  <pageSetup paperSize="9" scale="7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1</vt:i4>
      </vt:variant>
    </vt:vector>
  </HeadingPairs>
  <TitlesOfParts>
    <vt:vector size="11" baseType="lpstr">
      <vt:lpstr>装箱单</vt:lpstr>
      <vt:lpstr>HF26-05USD#</vt:lpstr>
      <vt:lpstr>HF26-10USD#</vt:lpstr>
      <vt:lpstr>HF26-11USD#</vt:lpstr>
      <vt:lpstr>HF26-12USD#</vt:lpstr>
      <vt:lpstr>HF26-13USD#</vt:lpstr>
      <vt:lpstr>HF26-06MSD#</vt:lpstr>
      <vt:lpstr>HF26-07MSD#</vt:lpstr>
      <vt:lpstr>HF26-08MSD#</vt:lpstr>
      <vt:lpstr>HF26-14MSD#</vt:lpstr>
      <vt:lpstr>'HF26-11USD#'!Área_de_impresión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Hunab Cuenta</cp:lastModifiedBy>
  <dcterms:created xsi:type="dcterms:W3CDTF">2015-06-06T10:19:00Z</dcterms:created>
  <dcterms:modified xsi:type="dcterms:W3CDTF">2026-10-06T15:26:55Z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90CD436C6E30413299DB93108104DCF6_12</vt:lpwstr>
  </property>
  <property fmtid="{D5CDD505-2E9C-101B-9397-08002B2CF9AE}" pid="3" name="KSOProductBuildVer">
    <vt:lpwstr>2052-12.1.3.27451</vt:lpwstr>
  </property>
  <property fmtid="{D5CDD505-2E9C-101B-9397-08002B2CF9AE}" pid="4" name="CalculationRule">
    <vt:i4>0</vt:i4>
  </property>
</Properties>
</file>