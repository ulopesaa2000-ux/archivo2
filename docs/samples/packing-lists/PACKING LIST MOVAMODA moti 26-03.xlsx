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riel\Downloads\providers\"/>
    </mc:Choice>
  </mc:AlternateContent>
  <xr:revisionPtr revIDLastSave="0" documentId="13_ncr:1_{88D71798-44AA-45D2-ABC1-19E392F927D0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PACKING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EnVhZzW3TBjBhQ8TeatzJrO1I3Qy3VvFNXrmoqR3K8="/>
    </ext>
  </extLst>
</workbook>
</file>

<file path=xl/calcChain.xml><?xml version="1.0" encoding="utf-8"?>
<calcChain xmlns="http://schemas.openxmlformats.org/spreadsheetml/2006/main">
  <c r="Q174" i="1" l="1"/>
  <c r="B174" i="1"/>
  <c r="Q161" i="1"/>
  <c r="R161" i="1" s="1"/>
  <c r="Q144" i="1"/>
  <c r="B144" i="1"/>
  <c r="Q131" i="1"/>
  <c r="R131" i="1" s="1"/>
  <c r="Q114" i="1"/>
  <c r="B114" i="1"/>
  <c r="Q106" i="1"/>
  <c r="R106" i="1" s="1"/>
  <c r="Q101" i="1"/>
  <c r="R101" i="1" s="1"/>
  <c r="Q84" i="1"/>
  <c r="B84" i="1"/>
  <c r="Q71" i="1"/>
  <c r="R71" i="1" s="1"/>
  <c r="B54" i="1"/>
  <c r="Q41" i="1"/>
  <c r="B24" i="1"/>
  <c r="Q16" i="1"/>
  <c r="R16" i="1" s="1"/>
  <c r="Q11" i="1"/>
  <c r="R174" i="1" l="1"/>
  <c r="G161" i="1"/>
  <c r="R144" i="1"/>
  <c r="G131" i="1"/>
  <c r="G101" i="1"/>
  <c r="R114" i="1"/>
  <c r="R84" i="1"/>
  <c r="G71" i="1"/>
  <c r="Q54" i="1"/>
  <c r="R41" i="1"/>
  <c r="Q24" i="1"/>
  <c r="R11" i="1"/>
  <c r="G41" i="1" l="1"/>
  <c r="R54" i="1"/>
  <c r="R24" i="1"/>
  <c r="G11" i="1"/>
  <c r="G175" i="1"/>
</calcChain>
</file>

<file path=xl/sharedStrings.xml><?xml version="1.0" encoding="utf-8"?>
<sst xmlns="http://schemas.openxmlformats.org/spreadsheetml/2006/main" count="394" uniqueCount="130">
  <si>
    <t>PACKING LIST</t>
  </si>
  <si>
    <t>ARTICLE NAME</t>
  </si>
  <si>
    <t>FELIPE FUR</t>
  </si>
  <si>
    <t>SHIPMENT NO</t>
  </si>
  <si>
    <t>XI-A4559</t>
  </si>
  <si>
    <t>DESCRIPTION</t>
  </si>
  <si>
    <t>MENS  UNIQLO NYLON JACKET FUR LINING PP FILLING WITHOUT HOOD</t>
  </si>
  <si>
    <t>CONTAINER NO</t>
  </si>
  <si>
    <t>MRSU8830206</t>
  </si>
  <si>
    <t>ORDER NO.</t>
  </si>
  <si>
    <t>225-083</t>
  </si>
  <si>
    <t>LOADING PORT</t>
  </si>
  <si>
    <t>XIAMEN</t>
  </si>
  <si>
    <t>DESTINATION</t>
  </si>
  <si>
    <t>MEXICO</t>
  </si>
  <si>
    <t>CONTAINER SIZE</t>
  </si>
  <si>
    <t>40HQ</t>
  </si>
  <si>
    <t>ETD./ETA.:</t>
  </si>
  <si>
    <t>CTN.</t>
  </si>
  <si>
    <t>QTY</t>
  </si>
  <si>
    <t>STYLE</t>
  </si>
  <si>
    <t>BRAND</t>
  </si>
  <si>
    <t>COMPOSICION</t>
  </si>
  <si>
    <t>PRECIO</t>
  </si>
  <si>
    <t xml:space="preserve">MONTO </t>
  </si>
  <si>
    <t>COLOR ASSORTMENT/CTN</t>
  </si>
  <si>
    <t>SIZE ASSORTMENT/CTN</t>
  </si>
  <si>
    <t>PCS</t>
  </si>
  <si>
    <t>TTL</t>
  </si>
  <si>
    <t>N0.</t>
  </si>
  <si>
    <t>OF CTNS</t>
  </si>
  <si>
    <t>NO.</t>
  </si>
  <si>
    <t>NAME</t>
  </si>
  <si>
    <t>A</t>
  </si>
  <si>
    <t>B</t>
  </si>
  <si>
    <t>C</t>
  </si>
  <si>
    <t>S/CH</t>
  </si>
  <si>
    <t>M/M</t>
  </si>
  <si>
    <t>L/G</t>
  </si>
  <si>
    <t>XL/EG</t>
  </si>
  <si>
    <t>PER CTN</t>
  </si>
  <si>
    <t>QTY(pcs)</t>
  </si>
  <si>
    <t>QTY(dozen)</t>
  </si>
  <si>
    <t>AND250008</t>
  </si>
  <si>
    <t>BULLSTAFF</t>
  </si>
  <si>
    <t>100% POLIESTER</t>
  </si>
  <si>
    <t>BLACK</t>
  </si>
  <si>
    <t xml:space="preserve">CHAMARRA BASICA PARA CABALLERO </t>
  </si>
  <si>
    <t>NAVY</t>
  </si>
  <si>
    <t>CHOCOLATE</t>
  </si>
  <si>
    <t>BLACK=24/NAVY=6</t>
  </si>
  <si>
    <t>TTL(ctns)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</si>
  <si>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</si>
  <si>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TTL(pcs/dozen)</t>
  </si>
  <si>
    <t>CTN SIZE:</t>
  </si>
  <si>
    <t>60*61*70</t>
  </si>
  <si>
    <t>CTN W/T.:</t>
  </si>
  <si>
    <t>56.8 KGS</t>
  </si>
  <si>
    <t>TTL CBM:</t>
  </si>
  <si>
    <t>8.45 CBM</t>
  </si>
  <si>
    <t>TTL G.W.:</t>
  </si>
  <si>
    <t>1838.40 KGS</t>
  </si>
  <si>
    <t>TTL N.W.:</t>
  </si>
  <si>
    <t>1821.60 KGS</t>
  </si>
  <si>
    <t>FELIPE FUR PLUS</t>
  </si>
  <si>
    <t>MENS  UNIQLO NYLON JACKET FUR LINING PP FILLING WITHOUT HOOD PLUS SIZE</t>
  </si>
  <si>
    <t>225-084</t>
  </si>
  <si>
    <t>2EG</t>
  </si>
  <si>
    <t>3EG</t>
  </si>
  <si>
    <t>4EG</t>
  </si>
  <si>
    <t>5EG</t>
  </si>
  <si>
    <t>AND250015</t>
  </si>
  <si>
    <t>GREENFIELD</t>
  </si>
  <si>
    <t>PACK A</t>
  </si>
  <si>
    <t xml:space="preserve">CHAMARRA BASICA TALLAS PLUS PARA CABALLERO </t>
  </si>
  <si>
    <t>54*58*78</t>
  </si>
  <si>
    <t>68.50 KGS</t>
  </si>
  <si>
    <t>1.71 CBM</t>
  </si>
  <si>
    <t>479.5 KGS</t>
  </si>
  <si>
    <t>476 KGS</t>
  </si>
  <si>
    <t>225-086</t>
  </si>
  <si>
    <t>AND250010</t>
  </si>
  <si>
    <t xml:space="preserve">BULLSTAFF CHAMARRA BASICA PARA CABALLERO </t>
  </si>
  <si>
    <t>BLUE</t>
  </si>
  <si>
    <t>D.KHAKI</t>
  </si>
  <si>
    <t>RED</t>
  </si>
  <si>
    <t>54*56*64</t>
  </si>
  <si>
    <t>55.50 KGS</t>
  </si>
  <si>
    <t>8.71 CBM</t>
  </si>
  <si>
    <t>2497.50 KGS</t>
  </si>
  <si>
    <t>2475 KGS</t>
  </si>
  <si>
    <t>FELIPE HOOD FUR</t>
  </si>
  <si>
    <t>MENS  UNIQLO NYLON JACKET WITH HOOD FUR LINING PP FILLING</t>
  </si>
  <si>
    <t>225-087</t>
  </si>
  <si>
    <t>AND250011</t>
  </si>
  <si>
    <t>PACK B</t>
  </si>
  <si>
    <t xml:space="preserve">CHAMARRA BASICA CON GORRO PARA CABALLERO </t>
  </si>
  <si>
    <t>BLACK=63/NAVY=3/CHOCOLATE=5</t>
  </si>
  <si>
    <t>60*51*70</t>
  </si>
  <si>
    <t>69.70 KGS</t>
  </si>
  <si>
    <t>5.38 CBM</t>
  </si>
  <si>
    <t>1463.70 kgs</t>
  </si>
  <si>
    <t>1453.20 kgs</t>
  </si>
  <si>
    <t>225-089</t>
  </si>
  <si>
    <t>AND250013</t>
  </si>
  <si>
    <t xml:space="preserve">CHAMARRA BASICA CON GORRO DESMONTABLE PARA CABALLERO </t>
  </si>
  <si>
    <t>BRONZE</t>
  </si>
  <si>
    <t>50*55*78</t>
  </si>
  <si>
    <t>43.70 KGS</t>
  </si>
  <si>
    <t>10.73 CBM</t>
  </si>
  <si>
    <t>2185 KGS</t>
  </si>
  <si>
    <t>2160 KGS</t>
  </si>
  <si>
    <t>FELIPE HOOD FUR PLUS</t>
  </si>
  <si>
    <t>MENS UNIQLO NYLON JACKET WITH HOOD FUR LINING PP FILLING PLUS SIZE</t>
  </si>
  <si>
    <t>225-090</t>
  </si>
  <si>
    <t>AND250014</t>
  </si>
  <si>
    <t xml:space="preserve">CHAMARRA BASICA CON GORRO DESMONTABLE TALLAS PLUS PARA CABALLERO </t>
  </si>
  <si>
    <t>56*58*78</t>
  </si>
  <si>
    <t>52.5 KGS</t>
  </si>
  <si>
    <t>10.64 CBM</t>
  </si>
  <si>
    <t>2205 KGS</t>
  </si>
  <si>
    <t>2184 KGS</t>
  </si>
  <si>
    <t>TTL CTNS</t>
  </si>
  <si>
    <r>
      <rPr>
        <sz val="12"/>
        <color theme="1"/>
        <rFont val="SimSun"/>
      </rPr>
      <t>1</t>
    </r>
    <r>
      <rPr>
        <sz val="12"/>
        <color theme="1"/>
        <rFont val="宋体"/>
      </rPr>
      <t>98 CTNS</t>
    </r>
  </si>
  <si>
    <t>TTL PCS</t>
  </si>
  <si>
    <r>
      <rPr>
        <sz val="12"/>
        <color theme="1"/>
        <rFont val="SimSun"/>
      </rPr>
      <t>1</t>
    </r>
    <r>
      <rPr>
        <sz val="12"/>
        <color theme="1"/>
        <rFont val="宋体"/>
      </rPr>
      <t>4891 PCS</t>
    </r>
  </si>
  <si>
    <t>TTL VOL</t>
  </si>
  <si>
    <r>
      <rPr>
        <sz val="12"/>
        <color theme="1"/>
        <rFont val="SimSun"/>
      </rPr>
      <t>4</t>
    </r>
    <r>
      <rPr>
        <sz val="12"/>
        <color theme="1"/>
        <rFont val="宋体"/>
      </rPr>
      <t>5.619 CBM</t>
    </r>
  </si>
  <si>
    <t>TTL G.W.</t>
  </si>
  <si>
    <r>
      <rPr>
        <sz val="12"/>
        <color theme="1"/>
        <rFont val="SimSun"/>
      </rPr>
      <t>1</t>
    </r>
    <r>
      <rPr>
        <sz val="12"/>
        <color theme="1"/>
        <rFont val="宋体"/>
      </rPr>
      <t>0669 KGS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</si>
</sst>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_-&quot;$&quot;* #,##0.00_-;\-&quot;$&quot;* #,##0.00_-;_-&quot;$&quot;* &quot;-&quot;??_-;_-@"/>
  </numFmts>
  <fonts count="8">
    <font>
      <sz val="12"/>
      <color rgb="FF000000"/>
      <name val="SimSun"/>
      <scheme val="minor"/>
    </font>
    <font>
      <sz val="18"/>
      <color theme="1"/>
      <name val="Arial"/>
    </font>
    <font>
      <sz val="12"/>
      <color theme="1"/>
      <name val="Arial"/>
    </font>
    <font>
      <sz val="11"/>
      <color theme="1"/>
      <name val="Arial"/>
    </font>
    <font>
      <u/>
      <sz val="11"/>
      <color theme="1"/>
      <name val="Arial"/>
    </font>
    <font>
      <sz val="12"/>
      <name val="SimSun"/>
    </font>
    <font>
      <sz val="12"/>
      <color theme="1"/>
      <name val="SimSun"/>
    </font>
    <font>
      <sz val="12"/>
      <color theme="1"/>
      <name val="宋体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2" xfId="0" applyFont="1" applyBorder="1"/>
    <xf numFmtId="165" fontId="3" fillId="0" borderId="12" xfId="0" applyNumberFormat="1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0" fontId="3" fillId="0" borderId="17" xfId="0" applyFont="1" applyBorder="1"/>
    <xf numFmtId="0" fontId="3" fillId="0" borderId="19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6" xfId="0" applyFont="1" applyBorder="1"/>
    <xf numFmtId="0" fontId="3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9" xfId="0" applyFont="1" applyBorder="1"/>
    <xf numFmtId="0" fontId="3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8" xfId="0" applyFont="1" applyBorder="1"/>
    <xf numFmtId="0" fontId="3" fillId="0" borderId="18" xfId="0" applyFont="1" applyBorder="1" applyAlignment="1">
      <alignment horizontal="center"/>
    </xf>
    <xf numFmtId="0" fontId="3" fillId="0" borderId="22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right"/>
    </xf>
    <xf numFmtId="0" fontId="3" fillId="0" borderId="10" xfId="0" applyFont="1" applyBorder="1"/>
    <xf numFmtId="165" fontId="3" fillId="0" borderId="0" xfId="0" applyNumberFormat="1" applyFont="1"/>
    <xf numFmtId="0" fontId="3" fillId="0" borderId="24" xfId="0" applyFont="1" applyBorder="1"/>
    <xf numFmtId="0" fontId="6" fillId="0" borderId="24" xfId="0" applyFont="1" applyBorder="1"/>
    <xf numFmtId="0" fontId="3" fillId="0" borderId="16" xfId="0" applyFont="1" applyBorder="1" applyAlignment="1">
      <alignment horizontal="center" wrapText="1"/>
    </xf>
    <xf numFmtId="0" fontId="5" fillId="0" borderId="23" xfId="0" applyFont="1" applyBorder="1"/>
    <xf numFmtId="0" fontId="5" fillId="0" borderId="8" xfId="0" applyFont="1" applyBorder="1"/>
    <xf numFmtId="0" fontId="3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wrapText="1"/>
    </xf>
    <xf numFmtId="0" fontId="5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6"/>
  <sheetViews>
    <sheetView tabSelected="1" workbookViewId="0">
      <selection activeCell="I22" sqref="I22"/>
    </sheetView>
  </sheetViews>
  <sheetFormatPr baseColWidth="10" defaultColWidth="11.25" defaultRowHeight="15" customHeight="1"/>
  <cols>
    <col min="1" max="1" width="14.6640625" customWidth="1"/>
    <col min="2" max="3" width="12.08203125" customWidth="1"/>
    <col min="4" max="7" width="23.58203125" customWidth="1"/>
    <col min="8" max="11" width="9" customWidth="1"/>
    <col min="12" max="12" width="14.6640625" customWidth="1"/>
    <col min="13" max="13" width="12.75" customWidth="1"/>
    <col min="14" max="26" width="9" customWidth="1"/>
  </cols>
  <sheetData>
    <row r="1" spans="1:26" ht="22.5">
      <c r="D1" s="52" t="s">
        <v>0</v>
      </c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26" ht="16">
      <c r="A2" s="1"/>
      <c r="B2" s="1"/>
      <c r="C2" s="1"/>
      <c r="D2" s="1"/>
      <c r="E2" s="1"/>
      <c r="F2" s="1"/>
      <c r="G2" s="1"/>
      <c r="H2" s="1"/>
      <c r="I2" s="2"/>
      <c r="J2" s="1"/>
      <c r="K2" s="1"/>
      <c r="L2" s="1"/>
      <c r="M2" s="1"/>
      <c r="N2" s="1"/>
      <c r="O2" s="1"/>
      <c r="P2" s="1"/>
      <c r="Q2" s="1"/>
      <c r="R2" s="1"/>
    </row>
    <row r="3" spans="1:26" ht="16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</row>
    <row r="4" spans="1:26" ht="15.5">
      <c r="A4" s="3"/>
      <c r="B4" s="3"/>
      <c r="C4" s="3"/>
      <c r="D4" s="3"/>
      <c r="E4" s="3"/>
      <c r="F4" s="3"/>
      <c r="G4" s="3"/>
      <c r="H4" s="4"/>
      <c r="I4" s="4"/>
      <c r="J4" s="4"/>
      <c r="K4" s="4"/>
      <c r="L4" s="3" t="s">
        <v>1</v>
      </c>
      <c r="M4" s="3" t="s">
        <v>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5">
      <c r="A5" s="3" t="s">
        <v>3</v>
      </c>
      <c r="B5" s="3" t="s">
        <v>4</v>
      </c>
      <c r="C5" s="3"/>
      <c r="D5" s="3"/>
      <c r="E5" s="3"/>
      <c r="F5" s="3"/>
      <c r="G5" s="3"/>
      <c r="H5" s="3"/>
      <c r="I5" s="3"/>
      <c r="J5" s="3"/>
      <c r="K5" s="3"/>
      <c r="L5" s="3" t="s">
        <v>5</v>
      </c>
      <c r="M5" s="54" t="s">
        <v>6</v>
      </c>
      <c r="N5" s="53"/>
      <c r="O5" s="53"/>
      <c r="P5" s="53"/>
      <c r="Q5" s="53"/>
      <c r="R5" s="53"/>
      <c r="S5" s="3"/>
      <c r="T5" s="3"/>
      <c r="U5" s="3"/>
      <c r="V5" s="3"/>
      <c r="W5" s="3"/>
      <c r="X5" s="3"/>
      <c r="Y5" s="3"/>
      <c r="Z5" s="3"/>
    </row>
    <row r="6" spans="1:26" ht="15.5">
      <c r="A6" s="3" t="s">
        <v>7</v>
      </c>
      <c r="B6" s="3" t="s">
        <v>8</v>
      </c>
      <c r="C6" s="3"/>
      <c r="D6" s="3"/>
      <c r="E6" s="3"/>
      <c r="F6" s="3"/>
      <c r="G6" s="3"/>
      <c r="H6" s="3"/>
      <c r="I6" s="3"/>
      <c r="J6" s="3"/>
      <c r="K6" s="3"/>
      <c r="L6" s="3" t="s">
        <v>9</v>
      </c>
      <c r="M6" s="3" t="s">
        <v>10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5">
      <c r="A7" s="3" t="s">
        <v>11</v>
      </c>
      <c r="B7" s="3" t="s">
        <v>12</v>
      </c>
      <c r="C7" s="3"/>
      <c r="D7" s="3"/>
      <c r="E7" s="3"/>
      <c r="F7" s="3"/>
      <c r="G7" s="3"/>
      <c r="H7" s="3"/>
      <c r="I7" s="3"/>
      <c r="J7" s="3"/>
      <c r="K7" s="3"/>
      <c r="L7" s="3" t="s">
        <v>13</v>
      </c>
      <c r="M7" s="3" t="s">
        <v>14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5">
      <c r="A8" s="3" t="s">
        <v>15</v>
      </c>
      <c r="B8" s="3" t="s">
        <v>16</v>
      </c>
      <c r="C8" s="3"/>
      <c r="D8" s="3"/>
      <c r="E8" s="3"/>
      <c r="F8" s="3"/>
      <c r="G8" s="3"/>
      <c r="H8" s="3"/>
      <c r="I8" s="3"/>
      <c r="J8" s="3"/>
      <c r="K8" s="3"/>
      <c r="L8" s="3" t="s">
        <v>17</v>
      </c>
      <c r="M8" s="5">
        <v>46123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5">
      <c r="A9" s="6" t="s">
        <v>18</v>
      </c>
      <c r="B9" s="7" t="s">
        <v>19</v>
      </c>
      <c r="C9" s="7" t="s">
        <v>20</v>
      </c>
      <c r="D9" s="7" t="s">
        <v>21</v>
      </c>
      <c r="E9" s="8" t="s">
        <v>22</v>
      </c>
      <c r="F9" s="8" t="s">
        <v>23</v>
      </c>
      <c r="G9" s="8" t="s">
        <v>24</v>
      </c>
      <c r="H9" s="9" t="s">
        <v>25</v>
      </c>
      <c r="I9" s="10"/>
      <c r="J9" s="11"/>
      <c r="K9" s="10"/>
      <c r="L9" s="9" t="s">
        <v>26</v>
      </c>
      <c r="M9" s="10"/>
      <c r="N9" s="10"/>
      <c r="O9" s="10"/>
      <c r="P9" s="7" t="s">
        <v>27</v>
      </c>
      <c r="Q9" s="12" t="s">
        <v>28</v>
      </c>
      <c r="R9" s="12" t="s">
        <v>28</v>
      </c>
      <c r="S9" s="3"/>
      <c r="T9" s="3"/>
      <c r="U9" s="3"/>
      <c r="V9" s="3"/>
      <c r="W9" s="3"/>
      <c r="X9" s="3"/>
      <c r="Y9" s="3"/>
      <c r="Z9" s="3"/>
    </row>
    <row r="10" spans="1:26" ht="15.5">
      <c r="A10" s="13" t="s">
        <v>29</v>
      </c>
      <c r="B10" s="14" t="s">
        <v>30</v>
      </c>
      <c r="C10" s="14" t="s">
        <v>31</v>
      </c>
      <c r="D10" s="14" t="s">
        <v>32</v>
      </c>
      <c r="E10" s="14"/>
      <c r="F10" s="14"/>
      <c r="G10" s="14"/>
      <c r="H10" s="15" t="s">
        <v>33</v>
      </c>
      <c r="I10" s="15" t="s">
        <v>34</v>
      </c>
      <c r="J10" s="14" t="s">
        <v>35</v>
      </c>
      <c r="K10" s="15"/>
      <c r="L10" s="15" t="s">
        <v>36</v>
      </c>
      <c r="M10" s="15" t="s">
        <v>37</v>
      </c>
      <c r="N10" s="15" t="s">
        <v>38</v>
      </c>
      <c r="O10" s="15" t="s">
        <v>39</v>
      </c>
      <c r="P10" s="14" t="s">
        <v>40</v>
      </c>
      <c r="Q10" s="16" t="s">
        <v>41</v>
      </c>
      <c r="R10" s="16" t="s">
        <v>42</v>
      </c>
      <c r="S10" s="3"/>
      <c r="T10" s="3"/>
      <c r="U10" s="3"/>
      <c r="V10" s="3"/>
      <c r="W10" s="3"/>
      <c r="X10" s="3"/>
      <c r="Y10" s="3"/>
      <c r="Z10" s="3"/>
    </row>
    <row r="11" spans="1:26" ht="15.5">
      <c r="A11" s="17"/>
      <c r="B11" s="18">
        <v>32</v>
      </c>
      <c r="C11" s="19" t="s">
        <v>43</v>
      </c>
      <c r="D11" s="19" t="s">
        <v>44</v>
      </c>
      <c r="E11" s="19" t="s">
        <v>45</v>
      </c>
      <c r="F11" s="20">
        <v>4.3</v>
      </c>
      <c r="G11" s="20">
        <f>F11*Q24</f>
        <v>12513</v>
      </c>
      <c r="H11" s="19" t="s">
        <v>46</v>
      </c>
      <c r="I11" s="18"/>
      <c r="J11" s="21"/>
      <c r="K11" s="21"/>
      <c r="L11" s="21">
        <v>3</v>
      </c>
      <c r="M11" s="21">
        <v>6</v>
      </c>
      <c r="N11" s="21">
        <v>6</v>
      </c>
      <c r="O11" s="21">
        <v>3</v>
      </c>
      <c r="P11" s="19">
        <v>90</v>
      </c>
      <c r="Q11" s="19">
        <f>B11*P11</f>
        <v>2880</v>
      </c>
      <c r="R11" s="22">
        <f>Q11/12</f>
        <v>240</v>
      </c>
      <c r="S11" s="3"/>
      <c r="T11" s="3"/>
      <c r="U11" s="3"/>
      <c r="V11" s="3"/>
      <c r="W11" s="3"/>
      <c r="X11" s="3"/>
      <c r="Y11" s="3"/>
      <c r="Z11" s="3"/>
    </row>
    <row r="12" spans="1:26" ht="15.5">
      <c r="A12" s="23"/>
      <c r="B12" s="24"/>
      <c r="C12" s="25"/>
      <c r="D12" s="48" t="s">
        <v>47</v>
      </c>
      <c r="E12" s="25"/>
      <c r="F12" s="25"/>
      <c r="G12" s="25"/>
      <c r="H12" s="25" t="s">
        <v>46</v>
      </c>
      <c r="I12" s="24"/>
      <c r="J12" s="26"/>
      <c r="K12" s="26"/>
      <c r="L12" s="26">
        <v>3</v>
      </c>
      <c r="M12" s="26">
        <v>6</v>
      </c>
      <c r="N12" s="26">
        <v>6</v>
      </c>
      <c r="O12" s="26">
        <v>3</v>
      </c>
      <c r="P12" s="25"/>
      <c r="Q12" s="25"/>
      <c r="R12" s="27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23"/>
      <c r="B13" s="24"/>
      <c r="C13" s="25"/>
      <c r="D13" s="55"/>
      <c r="E13" s="25"/>
      <c r="F13" s="25"/>
      <c r="G13" s="25"/>
      <c r="H13" s="25" t="s">
        <v>46</v>
      </c>
      <c r="I13" s="24"/>
      <c r="J13" s="26"/>
      <c r="K13" s="26"/>
      <c r="L13" s="26">
        <v>3</v>
      </c>
      <c r="M13" s="26">
        <v>6</v>
      </c>
      <c r="N13" s="26">
        <v>6</v>
      </c>
      <c r="O13" s="26">
        <v>3</v>
      </c>
      <c r="P13" s="25"/>
      <c r="Q13" s="25"/>
      <c r="R13" s="27"/>
      <c r="S13" s="3"/>
      <c r="T13" s="3"/>
      <c r="U13" s="3"/>
      <c r="V13" s="3"/>
      <c r="W13" s="3"/>
      <c r="X13" s="3"/>
      <c r="Y13" s="3"/>
      <c r="Z13" s="3"/>
    </row>
    <row r="14" spans="1:26" ht="15.5">
      <c r="A14" s="28"/>
      <c r="B14" s="29"/>
      <c r="C14" s="30"/>
      <c r="D14" s="30"/>
      <c r="E14" s="30"/>
      <c r="F14" s="30"/>
      <c r="G14" s="30"/>
      <c r="H14" s="30" t="s">
        <v>48</v>
      </c>
      <c r="I14" s="29"/>
      <c r="J14" s="31"/>
      <c r="K14" s="31"/>
      <c r="L14" s="31">
        <v>3</v>
      </c>
      <c r="M14" s="31">
        <v>6</v>
      </c>
      <c r="N14" s="31">
        <v>6</v>
      </c>
      <c r="O14" s="31">
        <v>3</v>
      </c>
      <c r="P14" s="30"/>
      <c r="Q14" s="25"/>
      <c r="R14" s="27"/>
      <c r="S14" s="3"/>
      <c r="T14" s="3"/>
      <c r="U14" s="3"/>
      <c r="V14" s="3"/>
      <c r="W14" s="3"/>
      <c r="X14" s="3"/>
      <c r="Y14" s="3"/>
      <c r="Z14" s="3"/>
    </row>
    <row r="15" spans="1:26" ht="15.5">
      <c r="A15" s="32"/>
      <c r="B15" s="33"/>
      <c r="C15" s="34"/>
      <c r="D15" s="34"/>
      <c r="E15" s="34"/>
      <c r="F15" s="34"/>
      <c r="G15" s="34"/>
      <c r="H15" s="34" t="s">
        <v>49</v>
      </c>
      <c r="I15" s="33"/>
      <c r="J15" s="15"/>
      <c r="K15" s="15"/>
      <c r="L15" s="15">
        <v>3</v>
      </c>
      <c r="M15" s="15">
        <v>6</v>
      </c>
      <c r="N15" s="15">
        <v>6</v>
      </c>
      <c r="O15" s="15">
        <v>3</v>
      </c>
      <c r="P15" s="34"/>
      <c r="Q15" s="25"/>
      <c r="R15" s="27"/>
      <c r="S15" s="3"/>
      <c r="T15" s="3"/>
      <c r="U15" s="3"/>
      <c r="V15" s="3"/>
      <c r="W15" s="3"/>
      <c r="X15" s="3"/>
      <c r="Y15" s="3"/>
      <c r="Z15" s="3"/>
    </row>
    <row r="16" spans="1:26" ht="15.5">
      <c r="A16" s="17"/>
      <c r="B16" s="18">
        <v>1</v>
      </c>
      <c r="C16" s="19"/>
      <c r="D16" s="19"/>
      <c r="E16" s="19"/>
      <c r="F16" s="19"/>
      <c r="G16" s="19"/>
      <c r="H16" s="19" t="s">
        <v>50</v>
      </c>
      <c r="I16" s="18"/>
      <c r="J16" s="21"/>
      <c r="K16" s="21"/>
      <c r="L16" s="21"/>
      <c r="M16" s="21"/>
      <c r="N16" s="21"/>
      <c r="O16" s="21"/>
      <c r="P16" s="19">
        <v>30</v>
      </c>
      <c r="Q16" s="19">
        <f>B16*P16</f>
        <v>30</v>
      </c>
      <c r="R16" s="22">
        <f>Q16/12</f>
        <v>2.5</v>
      </c>
      <c r="S16" s="3"/>
      <c r="T16" s="3"/>
      <c r="U16" s="3"/>
      <c r="V16" s="3"/>
      <c r="W16" s="3"/>
      <c r="X16" s="3"/>
      <c r="Y16" s="3"/>
      <c r="Z16" s="3"/>
    </row>
    <row r="17" spans="1:26" ht="15.5">
      <c r="A17" s="35"/>
      <c r="B17" s="36"/>
      <c r="C17" s="37"/>
      <c r="D17" s="37"/>
      <c r="E17" s="37"/>
      <c r="F17" s="37"/>
      <c r="G17" s="37"/>
      <c r="H17" s="37"/>
      <c r="I17" s="36"/>
      <c r="J17" s="38"/>
      <c r="K17" s="26"/>
      <c r="L17" s="26"/>
      <c r="M17" s="26"/>
      <c r="N17" s="26"/>
      <c r="O17" s="26"/>
      <c r="P17" s="25"/>
      <c r="Q17" s="25"/>
      <c r="R17" s="27"/>
      <c r="S17" s="3"/>
      <c r="T17" s="3"/>
      <c r="U17" s="3"/>
      <c r="V17" s="3"/>
      <c r="W17" s="3"/>
      <c r="X17" s="3"/>
      <c r="Y17" s="3"/>
      <c r="Z17" s="3"/>
    </row>
    <row r="18" spans="1:26" ht="15.5">
      <c r="A18" s="23"/>
      <c r="B18" s="24"/>
      <c r="C18" s="25"/>
      <c r="D18" s="25"/>
      <c r="E18" s="25"/>
      <c r="F18" s="25"/>
      <c r="G18" s="25"/>
      <c r="H18" s="25"/>
      <c r="I18" s="24"/>
      <c r="J18" s="26"/>
      <c r="K18" s="26"/>
      <c r="L18" s="26"/>
      <c r="M18" s="26"/>
      <c r="N18" s="26"/>
      <c r="O18" s="26"/>
      <c r="P18" s="25"/>
      <c r="Q18" s="25"/>
      <c r="R18" s="27"/>
      <c r="S18" s="3"/>
      <c r="T18" s="3"/>
      <c r="U18" s="3"/>
      <c r="V18" s="3"/>
      <c r="W18" s="3"/>
      <c r="X18" s="3"/>
      <c r="Y18" s="3"/>
      <c r="Z18" s="3"/>
    </row>
    <row r="19" spans="1:26" ht="15.5">
      <c r="A19" s="32"/>
      <c r="B19" s="33"/>
      <c r="C19" s="34"/>
      <c r="D19" s="34"/>
      <c r="E19" s="34"/>
      <c r="F19" s="34"/>
      <c r="G19" s="34"/>
      <c r="H19" s="34"/>
      <c r="I19" s="33"/>
      <c r="J19" s="15"/>
      <c r="K19" s="15"/>
      <c r="L19" s="15"/>
      <c r="M19" s="15"/>
      <c r="N19" s="15"/>
      <c r="O19" s="15"/>
      <c r="P19" s="34"/>
      <c r="Q19" s="25"/>
      <c r="R19" s="27"/>
      <c r="S19" s="3"/>
      <c r="T19" s="3"/>
      <c r="U19" s="3"/>
      <c r="V19" s="3"/>
      <c r="W19" s="3"/>
      <c r="X19" s="3"/>
      <c r="Y19" s="3"/>
      <c r="Z19" s="3"/>
    </row>
    <row r="20" spans="1:26" ht="15.5">
      <c r="A20" s="17"/>
      <c r="B20" s="18"/>
      <c r="C20" s="19"/>
      <c r="D20" s="19"/>
      <c r="E20" s="19"/>
      <c r="F20" s="19"/>
      <c r="G20" s="19"/>
      <c r="H20" s="19"/>
      <c r="I20" s="18"/>
      <c r="J20" s="21"/>
      <c r="K20" s="21"/>
      <c r="L20" s="21"/>
      <c r="M20" s="21"/>
      <c r="N20" s="21"/>
      <c r="O20" s="21"/>
      <c r="P20" s="19"/>
      <c r="Q20" s="19"/>
      <c r="R20" s="22"/>
      <c r="S20" s="3"/>
      <c r="T20" s="3"/>
      <c r="U20" s="3"/>
      <c r="V20" s="3"/>
      <c r="W20" s="3"/>
      <c r="X20" s="3"/>
      <c r="Y20" s="3"/>
      <c r="Z20" s="3"/>
    </row>
    <row r="21" spans="1:26" ht="15.5">
      <c r="A21" s="35"/>
      <c r="B21" s="36"/>
      <c r="C21" s="37"/>
      <c r="D21" s="37"/>
      <c r="E21" s="37"/>
      <c r="F21" s="37"/>
      <c r="G21" s="37"/>
      <c r="H21" s="37"/>
      <c r="I21" s="36"/>
      <c r="J21" s="38"/>
      <c r="K21" s="26"/>
      <c r="L21" s="26"/>
      <c r="M21" s="26"/>
      <c r="N21" s="26"/>
      <c r="O21" s="26"/>
      <c r="P21" s="25"/>
      <c r="Q21" s="25"/>
      <c r="R21" s="27"/>
      <c r="S21" s="3"/>
      <c r="T21" s="3"/>
      <c r="U21" s="3"/>
      <c r="V21" s="3"/>
      <c r="W21" s="3"/>
      <c r="X21" s="3"/>
      <c r="Y21" s="3"/>
      <c r="Z21" s="3"/>
    </row>
    <row r="22" spans="1:26" ht="15.5">
      <c r="A22" s="23"/>
      <c r="B22" s="24"/>
      <c r="C22" s="25"/>
      <c r="D22" s="25"/>
      <c r="E22" s="25"/>
      <c r="F22" s="25"/>
      <c r="G22" s="25"/>
      <c r="H22" s="25"/>
      <c r="I22" s="24"/>
      <c r="J22" s="26"/>
      <c r="K22" s="26"/>
      <c r="L22" s="26"/>
      <c r="M22" s="26"/>
      <c r="N22" s="26"/>
      <c r="O22" s="26"/>
      <c r="P22" s="25"/>
      <c r="Q22" s="25"/>
      <c r="R22" s="27"/>
      <c r="S22" s="3"/>
      <c r="T22" s="3"/>
      <c r="U22" s="3"/>
      <c r="V22" s="3"/>
      <c r="W22" s="3"/>
      <c r="X22" s="3"/>
      <c r="Y22" s="3"/>
      <c r="Z22" s="3"/>
    </row>
    <row r="23" spans="1:26" ht="15.5">
      <c r="A23" s="32"/>
      <c r="B23" s="33"/>
      <c r="C23" s="34"/>
      <c r="D23" s="34"/>
      <c r="E23" s="34"/>
      <c r="F23" s="34"/>
      <c r="G23" s="34"/>
      <c r="H23" s="34"/>
      <c r="I23" s="33"/>
      <c r="J23" s="15"/>
      <c r="K23" s="15"/>
      <c r="L23" s="15"/>
      <c r="M23" s="15"/>
      <c r="N23" s="15"/>
      <c r="O23" s="15"/>
      <c r="P23" s="34"/>
      <c r="Q23" s="34"/>
      <c r="R23" s="39"/>
      <c r="S23" s="3"/>
      <c r="T23" s="3"/>
      <c r="U23" s="3"/>
      <c r="V23" s="3"/>
      <c r="W23" s="3"/>
      <c r="X23" s="3"/>
      <c r="Y23" s="3"/>
      <c r="Z23" s="3"/>
    </row>
    <row r="24" spans="1:26" ht="15.5">
      <c r="A24" s="40" t="s">
        <v>51</v>
      </c>
      <c r="B24" s="41">
        <f>SUM(B11:B23)</f>
        <v>33</v>
      </c>
      <c r="C24" s="42" t="s">
        <v>52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3" t="s">
        <v>53</v>
      </c>
      <c r="Q24" s="42">
        <f>SUM(Q11:Q23)</f>
        <v>2910</v>
      </c>
      <c r="R24" s="44">
        <f>Q24/12</f>
        <v>242.5</v>
      </c>
      <c r="S24" s="3"/>
      <c r="T24" s="3"/>
      <c r="U24" s="3"/>
      <c r="V24" s="3"/>
      <c r="W24" s="3"/>
      <c r="X24" s="3"/>
      <c r="Y24" s="3"/>
      <c r="Z24" s="3"/>
    </row>
    <row r="25" spans="1:26" ht="15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5">
      <c r="A26" s="3" t="s">
        <v>54</v>
      </c>
      <c r="B26" s="3" t="s">
        <v>55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5">
      <c r="A27" s="3" t="s">
        <v>56</v>
      </c>
      <c r="B27" s="3" t="s">
        <v>57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5">
      <c r="A28" s="3" t="s">
        <v>58</v>
      </c>
      <c r="B28" s="3" t="s">
        <v>59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5">
      <c r="A29" s="3" t="s">
        <v>60</v>
      </c>
      <c r="B29" s="3" t="s">
        <v>61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5">
      <c r="A30" s="3" t="s">
        <v>62</v>
      </c>
      <c r="B30" s="3" t="s">
        <v>63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2.5">
      <c r="D31" s="52" t="s">
        <v>0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</row>
    <row r="32" spans="1:26" ht="16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</row>
    <row r="33" spans="1:26" ht="16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</row>
    <row r="34" spans="1:26" ht="15.5">
      <c r="A34" s="3"/>
      <c r="B34" s="3"/>
      <c r="C34" s="3"/>
      <c r="D34" s="3"/>
      <c r="E34" s="3"/>
      <c r="F34" s="3"/>
      <c r="G34" s="3"/>
      <c r="H34" s="4"/>
      <c r="I34" s="4"/>
      <c r="J34" s="4"/>
      <c r="K34" s="4"/>
      <c r="L34" s="3" t="s">
        <v>1</v>
      </c>
      <c r="M34" s="3" t="s">
        <v>64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5">
      <c r="A35" s="3" t="s">
        <v>3</v>
      </c>
      <c r="B35" s="3" t="s">
        <v>4</v>
      </c>
      <c r="C35" s="3"/>
      <c r="D35" s="3"/>
      <c r="E35" s="3"/>
      <c r="F35" s="3"/>
      <c r="G35" s="3"/>
      <c r="H35" s="3"/>
      <c r="I35" s="3"/>
      <c r="J35" s="3"/>
      <c r="K35" s="3"/>
      <c r="L35" s="3" t="s">
        <v>5</v>
      </c>
      <c r="M35" s="54" t="s">
        <v>65</v>
      </c>
      <c r="N35" s="53"/>
      <c r="O35" s="53"/>
      <c r="P35" s="53"/>
      <c r="Q35" s="53"/>
      <c r="R35" s="53"/>
      <c r="S35" s="3"/>
      <c r="T35" s="3"/>
      <c r="U35" s="3"/>
      <c r="V35" s="3"/>
      <c r="W35" s="3"/>
      <c r="X35" s="3"/>
      <c r="Y35" s="3"/>
      <c r="Z35" s="3"/>
    </row>
    <row r="36" spans="1:26" ht="15.5">
      <c r="A36" s="3" t="s">
        <v>7</v>
      </c>
      <c r="B36" s="3" t="s">
        <v>8</v>
      </c>
      <c r="C36" s="3"/>
      <c r="D36" s="3"/>
      <c r="E36" s="3"/>
      <c r="F36" s="3"/>
      <c r="G36" s="3"/>
      <c r="H36" s="3"/>
      <c r="I36" s="3"/>
      <c r="J36" s="3"/>
      <c r="K36" s="3"/>
      <c r="L36" s="3" t="s">
        <v>9</v>
      </c>
      <c r="M36" s="3" t="s">
        <v>66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5">
      <c r="A37" s="3" t="s">
        <v>11</v>
      </c>
      <c r="B37" s="3" t="s">
        <v>12</v>
      </c>
      <c r="C37" s="3"/>
      <c r="D37" s="3"/>
      <c r="E37" s="3"/>
      <c r="F37" s="3"/>
      <c r="G37" s="3"/>
      <c r="H37" s="3"/>
      <c r="I37" s="3"/>
      <c r="J37" s="3"/>
      <c r="K37" s="3"/>
      <c r="L37" s="3" t="s">
        <v>13</v>
      </c>
      <c r="M37" s="3" t="s">
        <v>14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5">
      <c r="A38" s="3" t="s">
        <v>15</v>
      </c>
      <c r="B38" s="3" t="s">
        <v>16</v>
      </c>
      <c r="C38" s="3"/>
      <c r="D38" s="3"/>
      <c r="E38" s="3"/>
      <c r="F38" s="3"/>
      <c r="G38" s="3"/>
      <c r="H38" s="3"/>
      <c r="I38" s="3"/>
      <c r="J38" s="3"/>
      <c r="K38" s="3"/>
      <c r="L38" s="3" t="s">
        <v>17</v>
      </c>
      <c r="M38" s="5">
        <v>46123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5">
      <c r="A39" s="6" t="s">
        <v>18</v>
      </c>
      <c r="B39" s="7" t="s">
        <v>19</v>
      </c>
      <c r="C39" s="7" t="s">
        <v>20</v>
      </c>
      <c r="D39" s="7" t="s">
        <v>21</v>
      </c>
      <c r="E39" s="8"/>
      <c r="F39" s="8"/>
      <c r="G39" s="8"/>
      <c r="H39" s="9" t="s">
        <v>25</v>
      </c>
      <c r="I39" s="10"/>
      <c r="J39" s="11"/>
      <c r="K39" s="10"/>
      <c r="L39" s="9" t="s">
        <v>26</v>
      </c>
      <c r="M39" s="10"/>
      <c r="N39" s="10"/>
      <c r="O39" s="10"/>
      <c r="P39" s="7" t="s">
        <v>27</v>
      </c>
      <c r="Q39" s="12" t="s">
        <v>28</v>
      </c>
      <c r="R39" s="12" t="s">
        <v>28</v>
      </c>
      <c r="S39" s="3"/>
      <c r="T39" s="3"/>
      <c r="U39" s="3"/>
      <c r="V39" s="3"/>
      <c r="W39" s="3"/>
      <c r="X39" s="3"/>
      <c r="Y39" s="3"/>
      <c r="Z39" s="3"/>
    </row>
    <row r="40" spans="1:26" ht="15.5">
      <c r="A40" s="13" t="s">
        <v>29</v>
      </c>
      <c r="B40" s="14" t="s">
        <v>30</v>
      </c>
      <c r="C40" s="14" t="s">
        <v>31</v>
      </c>
      <c r="D40" s="14" t="s">
        <v>32</v>
      </c>
      <c r="E40" s="14"/>
      <c r="F40" s="14"/>
      <c r="G40" s="14"/>
      <c r="H40" s="15" t="s">
        <v>33</v>
      </c>
      <c r="I40" s="15" t="s">
        <v>34</v>
      </c>
      <c r="J40" s="14" t="s">
        <v>35</v>
      </c>
      <c r="K40" s="15"/>
      <c r="L40" s="15" t="s">
        <v>67</v>
      </c>
      <c r="M40" s="15" t="s">
        <v>68</v>
      </c>
      <c r="N40" s="15" t="s">
        <v>69</v>
      </c>
      <c r="O40" s="15" t="s">
        <v>70</v>
      </c>
      <c r="P40" s="14" t="s">
        <v>40</v>
      </c>
      <c r="Q40" s="16" t="s">
        <v>41</v>
      </c>
      <c r="R40" s="16" t="s">
        <v>42</v>
      </c>
      <c r="S40" s="3"/>
      <c r="T40" s="3"/>
      <c r="U40" s="3"/>
      <c r="V40" s="3"/>
      <c r="W40" s="3"/>
      <c r="X40" s="3"/>
      <c r="Y40" s="3"/>
      <c r="Z40" s="3"/>
    </row>
    <row r="41" spans="1:26" ht="15.5">
      <c r="A41" s="17"/>
      <c r="B41" s="18">
        <v>7</v>
      </c>
      <c r="C41" s="19" t="s">
        <v>71</v>
      </c>
      <c r="D41" s="19" t="s">
        <v>72</v>
      </c>
      <c r="E41" s="19" t="s">
        <v>45</v>
      </c>
      <c r="F41" s="20">
        <v>4.7300000000000004</v>
      </c>
      <c r="G41" s="20">
        <f>F41*Q54</f>
        <v>2979.9</v>
      </c>
      <c r="H41" s="19" t="s">
        <v>46</v>
      </c>
      <c r="I41" s="18"/>
      <c r="J41" s="21"/>
      <c r="K41" s="21"/>
      <c r="L41" s="21">
        <v>3</v>
      </c>
      <c r="M41" s="21">
        <v>6</v>
      </c>
      <c r="N41" s="21">
        <v>6</v>
      </c>
      <c r="O41" s="21">
        <v>3</v>
      </c>
      <c r="P41" s="19">
        <v>90</v>
      </c>
      <c r="Q41" s="19">
        <f>B41*P41</f>
        <v>630</v>
      </c>
      <c r="R41" s="22">
        <f>Q41/12</f>
        <v>52.5</v>
      </c>
      <c r="S41" s="3"/>
      <c r="T41" s="3"/>
      <c r="U41" s="3"/>
      <c r="V41" s="3"/>
      <c r="W41" s="3"/>
      <c r="X41" s="3"/>
      <c r="Y41" s="3"/>
      <c r="Z41" s="3"/>
    </row>
    <row r="42" spans="1:26" ht="13.5" customHeight="1">
      <c r="A42" s="23"/>
      <c r="B42" s="24"/>
      <c r="C42" s="25" t="s">
        <v>73</v>
      </c>
      <c r="D42" s="48" t="s">
        <v>74</v>
      </c>
      <c r="E42" s="25"/>
      <c r="F42" s="25"/>
      <c r="G42" s="25"/>
      <c r="H42" s="25" t="s">
        <v>46</v>
      </c>
      <c r="I42" s="24"/>
      <c r="J42" s="26"/>
      <c r="K42" s="26"/>
      <c r="L42" s="26">
        <v>3</v>
      </c>
      <c r="M42" s="26">
        <v>6</v>
      </c>
      <c r="N42" s="26">
        <v>6</v>
      </c>
      <c r="O42" s="26">
        <v>3</v>
      </c>
      <c r="P42" s="25"/>
      <c r="Q42" s="25"/>
      <c r="R42" s="27"/>
      <c r="S42" s="3"/>
      <c r="T42" s="3"/>
      <c r="U42" s="3"/>
      <c r="V42" s="3"/>
      <c r="W42" s="3"/>
      <c r="X42" s="3"/>
      <c r="Y42" s="3"/>
      <c r="Z42" s="3"/>
    </row>
    <row r="43" spans="1:26" ht="15" customHeight="1">
      <c r="A43" s="23"/>
      <c r="B43" s="24"/>
      <c r="C43" s="25"/>
      <c r="D43" s="49"/>
      <c r="E43" s="25"/>
      <c r="F43" s="25"/>
      <c r="G43" s="25"/>
      <c r="H43" s="25" t="s">
        <v>46</v>
      </c>
      <c r="I43" s="24"/>
      <c r="J43" s="26"/>
      <c r="K43" s="26"/>
      <c r="L43" s="26">
        <v>3</v>
      </c>
      <c r="M43" s="26">
        <v>6</v>
      </c>
      <c r="N43" s="26">
        <v>6</v>
      </c>
      <c r="O43" s="26">
        <v>3</v>
      </c>
      <c r="P43" s="25"/>
      <c r="Q43" s="25"/>
      <c r="R43" s="27"/>
      <c r="S43" s="3"/>
      <c r="T43" s="3"/>
      <c r="U43" s="3"/>
      <c r="V43" s="3"/>
      <c r="W43" s="3"/>
      <c r="X43" s="3"/>
      <c r="Y43" s="3"/>
      <c r="Z43" s="3"/>
    </row>
    <row r="44" spans="1:26" ht="15" customHeight="1">
      <c r="A44" s="28"/>
      <c r="B44" s="29"/>
      <c r="C44" s="30"/>
      <c r="D44" s="49"/>
      <c r="E44" s="30"/>
      <c r="F44" s="30"/>
      <c r="G44" s="30"/>
      <c r="H44" s="30" t="s">
        <v>48</v>
      </c>
      <c r="I44" s="29"/>
      <c r="J44" s="31"/>
      <c r="K44" s="31"/>
      <c r="L44" s="31">
        <v>3</v>
      </c>
      <c r="M44" s="31">
        <v>6</v>
      </c>
      <c r="N44" s="31">
        <v>6</v>
      </c>
      <c r="O44" s="31">
        <v>3</v>
      </c>
      <c r="P44" s="30"/>
      <c r="Q44" s="25"/>
      <c r="R44" s="27"/>
      <c r="S44" s="3"/>
      <c r="T44" s="3"/>
      <c r="U44" s="3"/>
      <c r="V44" s="3"/>
      <c r="W44" s="3"/>
      <c r="X44" s="3"/>
      <c r="Y44" s="3"/>
      <c r="Z44" s="3"/>
    </row>
    <row r="45" spans="1:26" ht="15" customHeight="1">
      <c r="A45" s="32"/>
      <c r="B45" s="33"/>
      <c r="C45" s="34"/>
      <c r="D45" s="50"/>
      <c r="E45" s="34"/>
      <c r="F45" s="34"/>
      <c r="G45" s="34"/>
      <c r="H45" s="34" t="s">
        <v>49</v>
      </c>
      <c r="I45" s="33"/>
      <c r="J45" s="15"/>
      <c r="K45" s="15"/>
      <c r="L45" s="15">
        <v>3</v>
      </c>
      <c r="M45" s="15">
        <v>6</v>
      </c>
      <c r="N45" s="15">
        <v>6</v>
      </c>
      <c r="O45" s="15">
        <v>3</v>
      </c>
      <c r="P45" s="34"/>
      <c r="Q45" s="25"/>
      <c r="R45" s="27"/>
      <c r="S45" s="3"/>
      <c r="T45" s="3"/>
      <c r="U45" s="3"/>
      <c r="V45" s="3"/>
      <c r="W45" s="3"/>
      <c r="X45" s="3"/>
      <c r="Y45" s="3"/>
      <c r="Z45" s="3"/>
    </row>
    <row r="46" spans="1:26" ht="15.5">
      <c r="A46" s="17"/>
      <c r="B46" s="18"/>
      <c r="C46" s="19"/>
      <c r="D46" s="19"/>
      <c r="E46" s="19"/>
      <c r="F46" s="19"/>
      <c r="G46" s="19"/>
      <c r="H46" s="19"/>
      <c r="I46" s="18"/>
      <c r="J46" s="21"/>
      <c r="K46" s="21"/>
      <c r="L46" s="21"/>
      <c r="M46" s="21"/>
      <c r="N46" s="21"/>
      <c r="O46" s="21"/>
      <c r="P46" s="19"/>
      <c r="Q46" s="19"/>
      <c r="R46" s="22"/>
      <c r="S46" s="3"/>
      <c r="T46" s="3"/>
      <c r="U46" s="3"/>
      <c r="V46" s="3"/>
      <c r="W46" s="3"/>
      <c r="X46" s="3"/>
      <c r="Y46" s="3"/>
      <c r="Z46" s="3"/>
    </row>
    <row r="47" spans="1:26" ht="15.5">
      <c r="A47" s="35"/>
      <c r="B47" s="36"/>
      <c r="C47" s="37"/>
      <c r="D47" s="37"/>
      <c r="E47" s="37"/>
      <c r="F47" s="37"/>
      <c r="G47" s="37"/>
      <c r="H47" s="37"/>
      <c r="I47" s="36"/>
      <c r="J47" s="38"/>
      <c r="K47" s="26"/>
      <c r="L47" s="26"/>
      <c r="M47" s="26"/>
      <c r="N47" s="26"/>
      <c r="O47" s="26"/>
      <c r="P47" s="25"/>
      <c r="Q47" s="25"/>
      <c r="R47" s="27"/>
      <c r="S47" s="3"/>
      <c r="T47" s="3"/>
      <c r="U47" s="3"/>
      <c r="V47" s="3"/>
      <c r="W47" s="3"/>
      <c r="X47" s="3"/>
      <c r="Y47" s="3"/>
      <c r="Z47" s="3"/>
    </row>
    <row r="48" spans="1:26" ht="15.5">
      <c r="A48" s="23"/>
      <c r="B48" s="24"/>
      <c r="C48" s="25"/>
      <c r="D48" s="25"/>
      <c r="E48" s="25"/>
      <c r="F48" s="25"/>
      <c r="G48" s="25"/>
      <c r="H48" s="25"/>
      <c r="I48" s="24"/>
      <c r="J48" s="26"/>
      <c r="K48" s="26"/>
      <c r="L48" s="26"/>
      <c r="M48" s="26"/>
      <c r="N48" s="26"/>
      <c r="O48" s="26"/>
      <c r="P48" s="25"/>
      <c r="Q48" s="25"/>
      <c r="R48" s="27"/>
      <c r="S48" s="3"/>
      <c r="T48" s="3"/>
      <c r="U48" s="3"/>
      <c r="V48" s="3"/>
      <c r="W48" s="3"/>
      <c r="X48" s="3"/>
      <c r="Y48" s="3"/>
      <c r="Z48" s="3"/>
    </row>
    <row r="49" spans="1:26" ht="15.5">
      <c r="A49" s="32"/>
      <c r="B49" s="33"/>
      <c r="C49" s="34"/>
      <c r="D49" s="34"/>
      <c r="E49" s="34"/>
      <c r="F49" s="34"/>
      <c r="G49" s="34"/>
      <c r="H49" s="34"/>
      <c r="I49" s="33"/>
      <c r="J49" s="15"/>
      <c r="K49" s="15"/>
      <c r="L49" s="15"/>
      <c r="M49" s="15"/>
      <c r="N49" s="15"/>
      <c r="O49" s="15"/>
      <c r="P49" s="34"/>
      <c r="Q49" s="25"/>
      <c r="R49" s="27"/>
      <c r="S49" s="3"/>
      <c r="T49" s="3"/>
      <c r="U49" s="3"/>
      <c r="V49" s="3"/>
      <c r="W49" s="3"/>
      <c r="X49" s="3"/>
      <c r="Y49" s="3"/>
      <c r="Z49" s="3"/>
    </row>
    <row r="50" spans="1:26" ht="15.5">
      <c r="A50" s="17"/>
      <c r="B50" s="18"/>
      <c r="C50" s="19"/>
      <c r="D50" s="19"/>
      <c r="E50" s="19"/>
      <c r="F50" s="19"/>
      <c r="G50" s="19"/>
      <c r="H50" s="19"/>
      <c r="I50" s="18"/>
      <c r="J50" s="21"/>
      <c r="K50" s="21"/>
      <c r="L50" s="21"/>
      <c r="M50" s="21"/>
      <c r="N50" s="21"/>
      <c r="O50" s="21"/>
      <c r="P50" s="19"/>
      <c r="Q50" s="19"/>
      <c r="R50" s="22"/>
      <c r="S50" s="3"/>
      <c r="T50" s="3"/>
      <c r="U50" s="3"/>
      <c r="V50" s="3"/>
      <c r="W50" s="3"/>
      <c r="X50" s="3"/>
      <c r="Y50" s="3"/>
      <c r="Z50" s="3"/>
    </row>
    <row r="51" spans="1:26" ht="15.5">
      <c r="A51" s="35"/>
      <c r="B51" s="36"/>
      <c r="C51" s="37"/>
      <c r="D51" s="37"/>
      <c r="E51" s="37"/>
      <c r="F51" s="37"/>
      <c r="G51" s="37"/>
      <c r="H51" s="37"/>
      <c r="I51" s="36"/>
      <c r="J51" s="38"/>
      <c r="K51" s="26"/>
      <c r="L51" s="26"/>
      <c r="M51" s="26"/>
      <c r="N51" s="26"/>
      <c r="O51" s="26"/>
      <c r="P51" s="25"/>
      <c r="Q51" s="25"/>
      <c r="R51" s="27"/>
      <c r="S51" s="3"/>
      <c r="T51" s="3"/>
      <c r="U51" s="3"/>
      <c r="V51" s="3"/>
      <c r="W51" s="3"/>
      <c r="X51" s="3"/>
      <c r="Y51" s="3"/>
      <c r="Z51" s="3"/>
    </row>
    <row r="52" spans="1:26" ht="15.5">
      <c r="A52" s="23"/>
      <c r="B52" s="24"/>
      <c r="C52" s="25"/>
      <c r="D52" s="25"/>
      <c r="E52" s="25"/>
      <c r="F52" s="25"/>
      <c r="G52" s="25"/>
      <c r="H52" s="25"/>
      <c r="I52" s="24"/>
      <c r="J52" s="26"/>
      <c r="K52" s="26"/>
      <c r="L52" s="26"/>
      <c r="M52" s="26"/>
      <c r="N52" s="26"/>
      <c r="O52" s="26"/>
      <c r="P52" s="25"/>
      <c r="Q52" s="25"/>
      <c r="R52" s="27"/>
      <c r="S52" s="3"/>
      <c r="T52" s="3"/>
      <c r="U52" s="3"/>
      <c r="V52" s="3"/>
      <c r="W52" s="3"/>
      <c r="X52" s="3"/>
      <c r="Y52" s="3"/>
      <c r="Z52" s="3"/>
    </row>
    <row r="53" spans="1:26" ht="15.5">
      <c r="A53" s="32"/>
      <c r="B53" s="33"/>
      <c r="C53" s="34"/>
      <c r="D53" s="34"/>
      <c r="E53" s="34"/>
      <c r="F53" s="34"/>
      <c r="G53" s="34"/>
      <c r="H53" s="34"/>
      <c r="I53" s="33"/>
      <c r="J53" s="15"/>
      <c r="K53" s="15"/>
      <c r="L53" s="15"/>
      <c r="M53" s="15"/>
      <c r="N53" s="15"/>
      <c r="O53" s="15"/>
      <c r="P53" s="34"/>
      <c r="Q53" s="34"/>
      <c r="R53" s="39"/>
      <c r="S53" s="3"/>
      <c r="T53" s="3"/>
      <c r="U53" s="3"/>
      <c r="V53" s="3"/>
      <c r="W53" s="3"/>
      <c r="X53" s="3"/>
      <c r="Y53" s="3"/>
      <c r="Z53" s="3"/>
    </row>
    <row r="54" spans="1:26" ht="15.5">
      <c r="A54" s="40" t="s">
        <v>51</v>
      </c>
      <c r="B54" s="41">
        <f>SUM(B41:B53)</f>
        <v>7</v>
      </c>
      <c r="C54" s="42" t="s">
        <v>52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3" t="s">
        <v>53</v>
      </c>
      <c r="Q54" s="42">
        <f>SUM(Q41:Q53)</f>
        <v>630</v>
      </c>
      <c r="R54" s="44">
        <f>Q54/12</f>
        <v>52.5</v>
      </c>
      <c r="S54" s="3"/>
      <c r="T54" s="3"/>
      <c r="U54" s="3"/>
      <c r="V54" s="3"/>
      <c r="W54" s="3"/>
      <c r="X54" s="3"/>
      <c r="Y54" s="3"/>
      <c r="Z54" s="3"/>
    </row>
    <row r="55" spans="1:26" ht="15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5">
      <c r="A56" s="3" t="s">
        <v>54</v>
      </c>
      <c r="B56" s="3" t="s">
        <v>75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5">
      <c r="A57" s="3" t="s">
        <v>56</v>
      </c>
      <c r="B57" s="3" t="s">
        <v>76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5">
      <c r="A58" s="3" t="s">
        <v>58</v>
      </c>
      <c r="B58" s="3" t="s">
        <v>77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5">
      <c r="A59" s="3" t="s">
        <v>60</v>
      </c>
      <c r="B59" s="3" t="s">
        <v>78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5">
      <c r="A60" s="3" t="s">
        <v>62</v>
      </c>
      <c r="B60" s="3" t="s">
        <v>79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2.5">
      <c r="D61" s="52" t="s">
        <v>0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</row>
    <row r="62" spans="1:26" ht="16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</row>
    <row r="63" spans="1:26" ht="16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</row>
    <row r="64" spans="1:26" ht="15.5">
      <c r="A64" s="3"/>
      <c r="B64" s="3"/>
      <c r="C64" s="3"/>
      <c r="D64" s="3"/>
      <c r="E64" s="3"/>
      <c r="F64" s="3"/>
      <c r="G64" s="3"/>
      <c r="H64" s="4"/>
      <c r="I64" s="4"/>
      <c r="J64" s="4"/>
      <c r="K64" s="4"/>
      <c r="L64" s="3" t="s">
        <v>1</v>
      </c>
      <c r="M64" s="3" t="s">
        <v>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5">
      <c r="A65" s="3" t="s">
        <v>3</v>
      </c>
      <c r="B65" s="3" t="s">
        <v>4</v>
      </c>
      <c r="C65" s="3"/>
      <c r="D65" s="3"/>
      <c r="E65" s="3"/>
      <c r="F65" s="3"/>
      <c r="G65" s="3"/>
      <c r="H65" s="3"/>
      <c r="I65" s="3"/>
      <c r="J65" s="3"/>
      <c r="K65" s="3"/>
      <c r="L65" s="3" t="s">
        <v>5</v>
      </c>
      <c r="M65" s="54" t="s">
        <v>6</v>
      </c>
      <c r="N65" s="53"/>
      <c r="O65" s="53"/>
      <c r="P65" s="53"/>
      <c r="Q65" s="53"/>
      <c r="R65" s="53"/>
      <c r="S65" s="3"/>
      <c r="T65" s="3"/>
      <c r="U65" s="3"/>
      <c r="V65" s="3"/>
      <c r="W65" s="3"/>
      <c r="X65" s="3"/>
      <c r="Y65" s="3"/>
      <c r="Z65" s="3"/>
    </row>
    <row r="66" spans="1:26" ht="15.5">
      <c r="A66" s="3" t="s">
        <v>7</v>
      </c>
      <c r="B66" s="3" t="s">
        <v>8</v>
      </c>
      <c r="C66" s="3"/>
      <c r="D66" s="3"/>
      <c r="E66" s="3"/>
      <c r="F66" s="3"/>
      <c r="G66" s="3"/>
      <c r="H66" s="3"/>
      <c r="I66" s="3"/>
      <c r="J66" s="3"/>
      <c r="K66" s="3"/>
      <c r="L66" s="3" t="s">
        <v>9</v>
      </c>
      <c r="M66" s="3" t="s">
        <v>80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5">
      <c r="A67" s="3" t="s">
        <v>11</v>
      </c>
      <c r="B67" s="3" t="s">
        <v>12</v>
      </c>
      <c r="C67" s="3"/>
      <c r="D67" s="3"/>
      <c r="E67" s="3"/>
      <c r="F67" s="3"/>
      <c r="G67" s="3"/>
      <c r="H67" s="3"/>
      <c r="I67" s="3"/>
      <c r="J67" s="3"/>
      <c r="K67" s="3"/>
      <c r="L67" s="3" t="s">
        <v>13</v>
      </c>
      <c r="M67" s="3" t="s">
        <v>14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5">
      <c r="A68" s="3" t="s">
        <v>15</v>
      </c>
      <c r="B68" s="3" t="s">
        <v>16</v>
      </c>
      <c r="C68" s="3"/>
      <c r="D68" s="3"/>
      <c r="E68" s="3"/>
      <c r="F68" s="3"/>
      <c r="G68" s="3"/>
      <c r="H68" s="3"/>
      <c r="I68" s="3"/>
      <c r="J68" s="3"/>
      <c r="K68" s="3"/>
      <c r="L68" s="3" t="s">
        <v>17</v>
      </c>
      <c r="M68" s="5">
        <v>46123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5">
      <c r="A69" s="6" t="s">
        <v>18</v>
      </c>
      <c r="B69" s="7" t="s">
        <v>19</v>
      </c>
      <c r="C69" s="7" t="s">
        <v>20</v>
      </c>
      <c r="D69" s="7" t="s">
        <v>21</v>
      </c>
      <c r="E69" s="8"/>
      <c r="F69" s="8"/>
      <c r="G69" s="8"/>
      <c r="H69" s="9" t="s">
        <v>25</v>
      </c>
      <c r="I69" s="10"/>
      <c r="J69" s="11"/>
      <c r="K69" s="10"/>
      <c r="L69" s="9" t="s">
        <v>26</v>
      </c>
      <c r="M69" s="10"/>
      <c r="N69" s="10"/>
      <c r="O69" s="10"/>
      <c r="P69" s="7" t="s">
        <v>27</v>
      </c>
      <c r="Q69" s="12" t="s">
        <v>28</v>
      </c>
      <c r="R69" s="12" t="s">
        <v>28</v>
      </c>
      <c r="S69" s="3"/>
      <c r="T69" s="3"/>
      <c r="U69" s="3"/>
      <c r="V69" s="3"/>
      <c r="W69" s="3"/>
      <c r="X69" s="3"/>
      <c r="Y69" s="3"/>
      <c r="Z69" s="3"/>
    </row>
    <row r="70" spans="1:26" ht="15.5">
      <c r="A70" s="13" t="s">
        <v>29</v>
      </c>
      <c r="B70" s="14" t="s">
        <v>30</v>
      </c>
      <c r="C70" s="14" t="s">
        <v>31</v>
      </c>
      <c r="D70" s="14" t="s">
        <v>32</v>
      </c>
      <c r="E70" s="14"/>
      <c r="F70" s="14"/>
      <c r="G70" s="14"/>
      <c r="H70" s="15" t="s">
        <v>33</v>
      </c>
      <c r="I70" s="15" t="s">
        <v>34</v>
      </c>
      <c r="J70" s="14" t="s">
        <v>35</v>
      </c>
      <c r="K70" s="15"/>
      <c r="L70" s="15" t="s">
        <v>36</v>
      </c>
      <c r="M70" s="15" t="s">
        <v>37</v>
      </c>
      <c r="N70" s="15" t="s">
        <v>38</v>
      </c>
      <c r="O70" s="15" t="s">
        <v>39</v>
      </c>
      <c r="P70" s="14" t="s">
        <v>40</v>
      </c>
      <c r="Q70" s="16" t="s">
        <v>41</v>
      </c>
      <c r="R70" s="16" t="s">
        <v>42</v>
      </c>
      <c r="S70" s="3"/>
      <c r="T70" s="3"/>
      <c r="U70" s="3"/>
      <c r="V70" s="3"/>
      <c r="W70" s="3"/>
      <c r="X70" s="3"/>
      <c r="Y70" s="3"/>
      <c r="Z70" s="3"/>
    </row>
    <row r="71" spans="1:26" ht="15.5">
      <c r="A71" s="17"/>
      <c r="B71" s="18">
        <v>45</v>
      </c>
      <c r="C71" s="19" t="s">
        <v>81</v>
      </c>
      <c r="D71" s="51" t="s">
        <v>82</v>
      </c>
      <c r="E71" s="19" t="s">
        <v>45</v>
      </c>
      <c r="F71" s="20">
        <v>4.3</v>
      </c>
      <c r="G71" s="20">
        <f>F71*Q84</f>
        <v>17415</v>
      </c>
      <c r="H71" s="19" t="s">
        <v>46</v>
      </c>
      <c r="I71" s="18"/>
      <c r="J71" s="21"/>
      <c r="K71" s="21"/>
      <c r="L71" s="21">
        <v>3</v>
      </c>
      <c r="M71" s="21">
        <v>6</v>
      </c>
      <c r="N71" s="21">
        <v>6</v>
      </c>
      <c r="O71" s="21">
        <v>3</v>
      </c>
      <c r="P71" s="19">
        <v>90</v>
      </c>
      <c r="Q71" s="19">
        <f>B71*P71</f>
        <v>4050</v>
      </c>
      <c r="R71" s="22">
        <f>Q71/12</f>
        <v>337.5</v>
      </c>
      <c r="S71" s="3"/>
      <c r="T71" s="3"/>
      <c r="U71" s="3"/>
      <c r="V71" s="3"/>
      <c r="W71" s="3"/>
      <c r="X71" s="3"/>
      <c r="Y71" s="3"/>
      <c r="Z71" s="3"/>
    </row>
    <row r="72" spans="1:26" ht="15" customHeight="1">
      <c r="A72" s="23"/>
      <c r="B72" s="24"/>
      <c r="C72" s="25"/>
      <c r="D72" s="49"/>
      <c r="E72" s="25"/>
      <c r="F72" s="25"/>
      <c r="G72" s="25"/>
      <c r="H72" s="25" t="s">
        <v>46</v>
      </c>
      <c r="I72" s="24"/>
      <c r="J72" s="26"/>
      <c r="K72" s="26"/>
      <c r="L72" s="26">
        <v>3</v>
      </c>
      <c r="M72" s="26">
        <v>6</v>
      </c>
      <c r="N72" s="26">
        <v>6</v>
      </c>
      <c r="O72" s="26">
        <v>3</v>
      </c>
      <c r="P72" s="25"/>
      <c r="Q72" s="25"/>
      <c r="R72" s="27"/>
      <c r="S72" s="3"/>
      <c r="T72" s="3"/>
      <c r="U72" s="3"/>
      <c r="V72" s="3"/>
      <c r="W72" s="3"/>
      <c r="X72" s="3"/>
      <c r="Y72" s="3"/>
      <c r="Z72" s="3"/>
    </row>
    <row r="73" spans="1:26" ht="15" customHeight="1">
      <c r="A73" s="23"/>
      <c r="B73" s="24"/>
      <c r="C73" s="25"/>
      <c r="D73" s="49"/>
      <c r="E73" s="25"/>
      <c r="F73" s="25"/>
      <c r="G73" s="25"/>
      <c r="H73" s="25" t="s">
        <v>83</v>
      </c>
      <c r="I73" s="24"/>
      <c r="J73" s="26"/>
      <c r="K73" s="26"/>
      <c r="L73" s="26">
        <v>3</v>
      </c>
      <c r="M73" s="26">
        <v>6</v>
      </c>
      <c r="N73" s="26">
        <v>6</v>
      </c>
      <c r="O73" s="26">
        <v>3</v>
      </c>
      <c r="P73" s="25"/>
      <c r="Q73" s="25"/>
      <c r="R73" s="27"/>
      <c r="S73" s="3"/>
      <c r="T73" s="3"/>
      <c r="U73" s="3"/>
      <c r="V73" s="3"/>
      <c r="W73" s="3"/>
      <c r="X73" s="3"/>
      <c r="Y73" s="3"/>
      <c r="Z73" s="3"/>
    </row>
    <row r="74" spans="1:26" ht="15" customHeight="1">
      <c r="A74" s="28"/>
      <c r="B74" s="29"/>
      <c r="C74" s="30"/>
      <c r="D74" s="49"/>
      <c r="E74" s="30"/>
      <c r="F74" s="30"/>
      <c r="G74" s="30"/>
      <c r="H74" s="30" t="s">
        <v>84</v>
      </c>
      <c r="I74" s="29"/>
      <c r="J74" s="31"/>
      <c r="K74" s="31"/>
      <c r="L74" s="31">
        <v>3</v>
      </c>
      <c r="M74" s="31">
        <v>6</v>
      </c>
      <c r="N74" s="31">
        <v>6</v>
      </c>
      <c r="O74" s="31">
        <v>3</v>
      </c>
      <c r="P74" s="30"/>
      <c r="Q74" s="25"/>
      <c r="R74" s="27"/>
      <c r="S74" s="3"/>
      <c r="T74" s="3"/>
      <c r="U74" s="3"/>
      <c r="V74" s="3"/>
      <c r="W74" s="3"/>
      <c r="X74" s="3"/>
      <c r="Y74" s="3"/>
      <c r="Z74" s="3"/>
    </row>
    <row r="75" spans="1:26" ht="15" customHeight="1">
      <c r="A75" s="32"/>
      <c r="B75" s="33"/>
      <c r="C75" s="34"/>
      <c r="D75" s="50"/>
      <c r="E75" s="34"/>
      <c r="F75" s="34"/>
      <c r="G75" s="34"/>
      <c r="H75" s="34" t="s">
        <v>85</v>
      </c>
      <c r="I75" s="33"/>
      <c r="J75" s="15"/>
      <c r="K75" s="15"/>
      <c r="L75" s="15">
        <v>3</v>
      </c>
      <c r="M75" s="15">
        <v>6</v>
      </c>
      <c r="N75" s="15">
        <v>6</v>
      </c>
      <c r="O75" s="15">
        <v>3</v>
      </c>
      <c r="P75" s="34"/>
      <c r="Q75" s="25"/>
      <c r="R75" s="27"/>
      <c r="S75" s="3"/>
      <c r="T75" s="3"/>
      <c r="U75" s="3"/>
      <c r="V75" s="3"/>
      <c r="W75" s="3"/>
      <c r="X75" s="3"/>
      <c r="Y75" s="3"/>
      <c r="Z75" s="3"/>
    </row>
    <row r="76" spans="1:26" ht="15.5">
      <c r="A76" s="17"/>
      <c r="B76" s="18"/>
      <c r="C76" s="19"/>
      <c r="D76" s="19"/>
      <c r="E76" s="19"/>
      <c r="F76" s="19"/>
      <c r="G76" s="19"/>
      <c r="H76" s="19"/>
      <c r="I76" s="18"/>
      <c r="J76" s="21"/>
      <c r="K76" s="21"/>
      <c r="L76" s="21"/>
      <c r="M76" s="21"/>
      <c r="N76" s="21"/>
      <c r="O76" s="21"/>
      <c r="P76" s="19"/>
      <c r="Q76" s="19"/>
      <c r="R76" s="22"/>
      <c r="S76" s="3"/>
      <c r="T76" s="3"/>
      <c r="U76" s="3"/>
      <c r="V76" s="3"/>
      <c r="W76" s="3"/>
      <c r="X76" s="3"/>
      <c r="Y76" s="3"/>
      <c r="Z76" s="3"/>
    </row>
    <row r="77" spans="1:26" ht="15.5">
      <c r="A77" s="35"/>
      <c r="B77" s="36"/>
      <c r="C77" s="37"/>
      <c r="D77" s="37"/>
      <c r="E77" s="37"/>
      <c r="F77" s="37"/>
      <c r="G77" s="37"/>
      <c r="H77" s="37"/>
      <c r="I77" s="36"/>
      <c r="J77" s="38"/>
      <c r="K77" s="26"/>
      <c r="L77" s="26"/>
      <c r="M77" s="26"/>
      <c r="N77" s="26"/>
      <c r="O77" s="26"/>
      <c r="P77" s="25"/>
      <c r="Q77" s="25"/>
      <c r="R77" s="27"/>
      <c r="S77" s="3"/>
      <c r="T77" s="3"/>
      <c r="U77" s="3"/>
      <c r="V77" s="3"/>
      <c r="W77" s="3"/>
      <c r="X77" s="3"/>
      <c r="Y77" s="3"/>
      <c r="Z77" s="3"/>
    </row>
    <row r="78" spans="1:26" ht="15.5">
      <c r="A78" s="23"/>
      <c r="B78" s="24"/>
      <c r="C78" s="25"/>
      <c r="D78" s="25"/>
      <c r="E78" s="25"/>
      <c r="F78" s="25"/>
      <c r="G78" s="25"/>
      <c r="H78" s="25"/>
      <c r="I78" s="24"/>
      <c r="J78" s="26"/>
      <c r="K78" s="26"/>
      <c r="L78" s="26"/>
      <c r="M78" s="26"/>
      <c r="N78" s="26"/>
      <c r="O78" s="26"/>
      <c r="P78" s="25"/>
      <c r="Q78" s="25"/>
      <c r="R78" s="27"/>
      <c r="S78" s="3"/>
      <c r="T78" s="3"/>
      <c r="U78" s="3"/>
      <c r="V78" s="3"/>
      <c r="W78" s="3"/>
      <c r="X78" s="3"/>
      <c r="Y78" s="3"/>
      <c r="Z78" s="3"/>
    </row>
    <row r="79" spans="1:26" ht="15.5">
      <c r="A79" s="32"/>
      <c r="B79" s="33"/>
      <c r="C79" s="34"/>
      <c r="D79" s="34"/>
      <c r="E79" s="34"/>
      <c r="F79" s="34"/>
      <c r="G79" s="34"/>
      <c r="H79" s="34"/>
      <c r="I79" s="33"/>
      <c r="J79" s="15"/>
      <c r="K79" s="15"/>
      <c r="L79" s="15"/>
      <c r="M79" s="15"/>
      <c r="N79" s="15"/>
      <c r="O79" s="15"/>
      <c r="P79" s="34"/>
      <c r="Q79" s="25"/>
      <c r="R79" s="27"/>
      <c r="S79" s="3"/>
      <c r="T79" s="3"/>
      <c r="U79" s="3"/>
      <c r="V79" s="3"/>
      <c r="W79" s="3"/>
      <c r="X79" s="3"/>
      <c r="Y79" s="3"/>
      <c r="Z79" s="3"/>
    </row>
    <row r="80" spans="1:26" ht="15.5">
      <c r="A80" s="17"/>
      <c r="B80" s="18"/>
      <c r="C80" s="19"/>
      <c r="D80" s="19"/>
      <c r="E80" s="19"/>
      <c r="F80" s="19"/>
      <c r="G80" s="19"/>
      <c r="H80" s="19"/>
      <c r="I80" s="18"/>
      <c r="J80" s="21"/>
      <c r="K80" s="21"/>
      <c r="L80" s="21"/>
      <c r="M80" s="21"/>
      <c r="N80" s="21"/>
      <c r="O80" s="21"/>
      <c r="P80" s="19"/>
      <c r="Q80" s="19"/>
      <c r="R80" s="22"/>
      <c r="S80" s="3"/>
      <c r="T80" s="3"/>
      <c r="U80" s="3"/>
      <c r="V80" s="3"/>
      <c r="W80" s="3"/>
      <c r="X80" s="3"/>
      <c r="Y80" s="3"/>
      <c r="Z80" s="3"/>
    </row>
    <row r="81" spans="1:26" ht="15.5">
      <c r="A81" s="35"/>
      <c r="B81" s="36"/>
      <c r="C81" s="37"/>
      <c r="D81" s="37"/>
      <c r="E81" s="37"/>
      <c r="F81" s="37"/>
      <c r="G81" s="37"/>
      <c r="H81" s="37"/>
      <c r="I81" s="36"/>
      <c r="J81" s="38"/>
      <c r="K81" s="26"/>
      <c r="L81" s="26"/>
      <c r="M81" s="26"/>
      <c r="N81" s="26"/>
      <c r="O81" s="26"/>
      <c r="P81" s="25"/>
      <c r="Q81" s="25"/>
      <c r="R81" s="27"/>
      <c r="S81" s="3"/>
      <c r="T81" s="3"/>
      <c r="U81" s="3"/>
      <c r="V81" s="3"/>
      <c r="W81" s="3"/>
      <c r="X81" s="3"/>
      <c r="Y81" s="3"/>
      <c r="Z81" s="3"/>
    </row>
    <row r="82" spans="1:26" ht="15.5">
      <c r="A82" s="23"/>
      <c r="B82" s="24"/>
      <c r="C82" s="25"/>
      <c r="D82" s="25"/>
      <c r="E82" s="25"/>
      <c r="F82" s="25"/>
      <c r="G82" s="25"/>
      <c r="H82" s="25"/>
      <c r="I82" s="24"/>
      <c r="J82" s="26"/>
      <c r="K82" s="26"/>
      <c r="L82" s="26"/>
      <c r="M82" s="26"/>
      <c r="N82" s="26"/>
      <c r="O82" s="26"/>
      <c r="P82" s="25"/>
      <c r="Q82" s="25"/>
      <c r="R82" s="27"/>
      <c r="S82" s="3"/>
      <c r="T82" s="3"/>
      <c r="U82" s="3"/>
      <c r="V82" s="3"/>
      <c r="W82" s="3"/>
      <c r="X82" s="3"/>
      <c r="Y82" s="3"/>
      <c r="Z82" s="3"/>
    </row>
    <row r="83" spans="1:26" ht="15.5">
      <c r="A83" s="32"/>
      <c r="B83" s="33"/>
      <c r="C83" s="34"/>
      <c r="D83" s="34"/>
      <c r="E83" s="34"/>
      <c r="F83" s="34"/>
      <c r="G83" s="34"/>
      <c r="H83" s="34"/>
      <c r="I83" s="33"/>
      <c r="J83" s="15"/>
      <c r="K83" s="15"/>
      <c r="L83" s="15"/>
      <c r="M83" s="15"/>
      <c r="N83" s="15"/>
      <c r="O83" s="15"/>
      <c r="P83" s="34"/>
      <c r="Q83" s="34"/>
      <c r="R83" s="39"/>
      <c r="S83" s="3"/>
      <c r="T83" s="3"/>
      <c r="U83" s="3"/>
      <c r="V83" s="3"/>
      <c r="W83" s="3"/>
      <c r="X83" s="3"/>
      <c r="Y83" s="3"/>
      <c r="Z83" s="3"/>
    </row>
    <row r="84" spans="1:26" ht="15.5">
      <c r="A84" s="40" t="s">
        <v>51</v>
      </c>
      <c r="B84" s="41">
        <f>SUM(B71:B83)</f>
        <v>45</v>
      </c>
      <c r="C84" s="42" t="s">
        <v>52</v>
      </c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3" t="s">
        <v>53</v>
      </c>
      <c r="Q84" s="42">
        <f>SUM(Q71:Q83)</f>
        <v>4050</v>
      </c>
      <c r="R84" s="44">
        <f>Q84/12</f>
        <v>337.5</v>
      </c>
      <c r="S84" s="3"/>
      <c r="T84" s="3"/>
      <c r="U84" s="3"/>
      <c r="V84" s="3"/>
      <c r="W84" s="3"/>
      <c r="X84" s="3"/>
      <c r="Y84" s="3"/>
      <c r="Z84" s="3"/>
    </row>
    <row r="85" spans="1:26" ht="15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5">
      <c r="A86" s="3" t="s">
        <v>54</v>
      </c>
      <c r="B86" s="3" t="s">
        <v>86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5">
      <c r="A87" s="3" t="s">
        <v>56</v>
      </c>
      <c r="B87" s="3" t="s">
        <v>87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5">
      <c r="A88" s="3" t="s">
        <v>58</v>
      </c>
      <c r="B88" s="3" t="s">
        <v>88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5">
      <c r="A89" s="3" t="s">
        <v>60</v>
      </c>
      <c r="B89" s="3" t="s">
        <v>89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5">
      <c r="A90" s="3" t="s">
        <v>62</v>
      </c>
      <c r="B90" s="3" t="s">
        <v>90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2.5">
      <c r="D91" s="52" t="s">
        <v>0</v>
      </c>
      <c r="E91" s="53"/>
      <c r="F91" s="53"/>
      <c r="G91" s="53"/>
      <c r="H91" s="53"/>
      <c r="I91" s="53"/>
      <c r="J91" s="53"/>
      <c r="K91" s="53"/>
      <c r="L91" s="53"/>
      <c r="M91" s="53"/>
      <c r="N91" s="53"/>
    </row>
    <row r="92" spans="1:26" ht="16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</row>
    <row r="93" spans="1:26" ht="16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</row>
    <row r="94" spans="1:26" ht="15.5">
      <c r="A94" s="3"/>
      <c r="B94" s="3"/>
      <c r="C94" s="3"/>
      <c r="D94" s="3"/>
      <c r="E94" s="3"/>
      <c r="F94" s="3"/>
      <c r="G94" s="3"/>
      <c r="H94" s="4"/>
      <c r="I94" s="4"/>
      <c r="J94" s="4"/>
      <c r="K94" s="4"/>
      <c r="L94" s="3" t="s">
        <v>1</v>
      </c>
      <c r="M94" s="3" t="s">
        <v>91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5">
      <c r="A95" s="3" t="s">
        <v>3</v>
      </c>
      <c r="B95" s="3" t="s">
        <v>4</v>
      </c>
      <c r="C95" s="3"/>
      <c r="D95" s="3"/>
      <c r="E95" s="3"/>
      <c r="F95" s="3"/>
      <c r="G95" s="3"/>
      <c r="H95" s="3"/>
      <c r="I95" s="3"/>
      <c r="J95" s="3"/>
      <c r="K95" s="3"/>
      <c r="L95" s="3" t="s">
        <v>5</v>
      </c>
      <c r="M95" s="54" t="s">
        <v>92</v>
      </c>
      <c r="N95" s="53"/>
      <c r="O95" s="53"/>
      <c r="P95" s="53"/>
      <c r="Q95" s="53"/>
      <c r="R95" s="53"/>
      <c r="S95" s="3"/>
      <c r="T95" s="3"/>
      <c r="U95" s="3"/>
      <c r="V95" s="3"/>
      <c r="W95" s="3"/>
      <c r="X95" s="3"/>
      <c r="Y95" s="3"/>
      <c r="Z95" s="3"/>
    </row>
    <row r="96" spans="1:26" ht="15.5">
      <c r="A96" s="3" t="s">
        <v>7</v>
      </c>
      <c r="B96" s="3" t="s">
        <v>8</v>
      </c>
      <c r="C96" s="3"/>
      <c r="D96" s="3"/>
      <c r="E96" s="3"/>
      <c r="F96" s="3"/>
      <c r="G96" s="3"/>
      <c r="H96" s="3"/>
      <c r="I96" s="3"/>
      <c r="J96" s="3"/>
      <c r="K96" s="3"/>
      <c r="L96" s="3" t="s">
        <v>9</v>
      </c>
      <c r="M96" s="3" t="s">
        <v>93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5">
      <c r="A97" s="3" t="s">
        <v>11</v>
      </c>
      <c r="B97" s="3" t="s">
        <v>12</v>
      </c>
      <c r="C97" s="3"/>
      <c r="D97" s="3"/>
      <c r="E97" s="3"/>
      <c r="F97" s="3"/>
      <c r="G97" s="3"/>
      <c r="H97" s="3"/>
      <c r="I97" s="3"/>
      <c r="J97" s="3"/>
      <c r="K97" s="3"/>
      <c r="L97" s="3" t="s">
        <v>13</v>
      </c>
      <c r="M97" s="3" t="s">
        <v>14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5">
      <c r="A98" s="3" t="s">
        <v>15</v>
      </c>
      <c r="B98" s="3" t="s">
        <v>16</v>
      </c>
      <c r="C98" s="3"/>
      <c r="D98" s="3"/>
      <c r="E98" s="3"/>
      <c r="F98" s="3"/>
      <c r="G98" s="3"/>
      <c r="H98" s="3"/>
      <c r="I98" s="3"/>
      <c r="J98" s="3"/>
      <c r="K98" s="3"/>
      <c r="L98" s="3" t="s">
        <v>17</v>
      </c>
      <c r="M98" s="5">
        <v>46123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5">
      <c r="A99" s="6" t="s">
        <v>18</v>
      </c>
      <c r="B99" s="7" t="s">
        <v>19</v>
      </c>
      <c r="C99" s="7" t="s">
        <v>20</v>
      </c>
      <c r="D99" s="7" t="s">
        <v>21</v>
      </c>
      <c r="E99" s="8"/>
      <c r="F99" s="8"/>
      <c r="G99" s="8"/>
      <c r="H99" s="9" t="s">
        <v>25</v>
      </c>
      <c r="I99" s="10"/>
      <c r="J99" s="11"/>
      <c r="K99" s="10"/>
      <c r="L99" s="9" t="s">
        <v>26</v>
      </c>
      <c r="M99" s="10"/>
      <c r="N99" s="10"/>
      <c r="O99" s="10"/>
      <c r="P99" s="7" t="s">
        <v>27</v>
      </c>
      <c r="Q99" s="12" t="s">
        <v>28</v>
      </c>
      <c r="R99" s="12" t="s">
        <v>28</v>
      </c>
      <c r="S99" s="3"/>
      <c r="T99" s="3"/>
      <c r="U99" s="3"/>
      <c r="V99" s="3"/>
      <c r="W99" s="3"/>
      <c r="X99" s="3"/>
      <c r="Y99" s="3"/>
      <c r="Z99" s="3"/>
    </row>
    <row r="100" spans="1:26" ht="15.5">
      <c r="A100" s="13" t="s">
        <v>29</v>
      </c>
      <c r="B100" s="14" t="s">
        <v>30</v>
      </c>
      <c r="C100" s="14" t="s">
        <v>31</v>
      </c>
      <c r="D100" s="14" t="s">
        <v>32</v>
      </c>
      <c r="E100" s="14"/>
      <c r="F100" s="14"/>
      <c r="G100" s="14"/>
      <c r="H100" s="15" t="s">
        <v>33</v>
      </c>
      <c r="I100" s="15" t="s">
        <v>34</v>
      </c>
      <c r="J100" s="14" t="s">
        <v>35</v>
      </c>
      <c r="K100" s="15"/>
      <c r="L100" s="15" t="s">
        <v>36</v>
      </c>
      <c r="M100" s="15" t="s">
        <v>37</v>
      </c>
      <c r="N100" s="15" t="s">
        <v>38</v>
      </c>
      <c r="O100" s="15" t="s">
        <v>39</v>
      </c>
      <c r="P100" s="14" t="s">
        <v>40</v>
      </c>
      <c r="Q100" s="16" t="s">
        <v>41</v>
      </c>
      <c r="R100" s="16" t="s">
        <v>42</v>
      </c>
      <c r="S100" s="3"/>
      <c r="T100" s="3"/>
      <c r="U100" s="3"/>
      <c r="V100" s="3"/>
      <c r="W100" s="3"/>
      <c r="X100" s="3"/>
      <c r="Y100" s="3"/>
      <c r="Z100" s="3"/>
    </row>
    <row r="101" spans="1:26" ht="15.5">
      <c r="A101" s="17"/>
      <c r="B101" s="18">
        <v>20</v>
      </c>
      <c r="C101" s="19" t="s">
        <v>94</v>
      </c>
      <c r="D101" s="19" t="s">
        <v>72</v>
      </c>
      <c r="E101" s="19" t="s">
        <v>45</v>
      </c>
      <c r="F101" s="20">
        <v>5</v>
      </c>
      <c r="G101" s="20">
        <f>F101*Q114</f>
        <v>9355</v>
      </c>
      <c r="H101" s="19" t="s">
        <v>46</v>
      </c>
      <c r="I101" s="18"/>
      <c r="J101" s="21"/>
      <c r="K101" s="21"/>
      <c r="L101" s="21">
        <v>3</v>
      </c>
      <c r="M101" s="21">
        <v>6</v>
      </c>
      <c r="N101" s="21">
        <v>6</v>
      </c>
      <c r="O101" s="21">
        <v>3</v>
      </c>
      <c r="P101" s="19">
        <v>90</v>
      </c>
      <c r="Q101" s="19">
        <f>B101*P101</f>
        <v>1800</v>
      </c>
      <c r="R101" s="22">
        <f>Q101/12</f>
        <v>150</v>
      </c>
      <c r="S101" s="3"/>
      <c r="T101" s="3"/>
      <c r="U101" s="3"/>
      <c r="V101" s="3"/>
      <c r="W101" s="3"/>
      <c r="X101" s="3"/>
      <c r="Y101" s="3"/>
      <c r="Z101" s="3"/>
    </row>
    <row r="102" spans="1:26" ht="15.5">
      <c r="A102" s="23"/>
      <c r="B102" s="24"/>
      <c r="C102" s="25" t="s">
        <v>95</v>
      </c>
      <c r="D102" s="48" t="s">
        <v>96</v>
      </c>
      <c r="E102" s="25"/>
      <c r="F102" s="25"/>
      <c r="G102" s="25"/>
      <c r="H102" s="25" t="s">
        <v>46</v>
      </c>
      <c r="I102" s="24"/>
      <c r="J102" s="26"/>
      <c r="K102" s="26"/>
      <c r="L102" s="26">
        <v>3</v>
      </c>
      <c r="M102" s="26">
        <v>6</v>
      </c>
      <c r="N102" s="26">
        <v>6</v>
      </c>
      <c r="O102" s="26">
        <v>3</v>
      </c>
      <c r="P102" s="25"/>
      <c r="Q102" s="25"/>
      <c r="R102" s="27"/>
      <c r="S102" s="3"/>
      <c r="T102" s="3"/>
      <c r="U102" s="3"/>
      <c r="V102" s="3"/>
      <c r="W102" s="3"/>
      <c r="X102" s="3"/>
      <c r="Y102" s="3"/>
      <c r="Z102" s="3"/>
    </row>
    <row r="103" spans="1:26" ht="15" customHeight="1">
      <c r="A103" s="23"/>
      <c r="B103" s="24"/>
      <c r="C103" s="25"/>
      <c r="D103" s="49"/>
      <c r="E103" s="25"/>
      <c r="F103" s="25"/>
      <c r="G103" s="25"/>
      <c r="H103" s="25" t="s">
        <v>85</v>
      </c>
      <c r="I103" s="24"/>
      <c r="J103" s="26"/>
      <c r="K103" s="26"/>
      <c r="L103" s="26">
        <v>3</v>
      </c>
      <c r="M103" s="26">
        <v>6</v>
      </c>
      <c r="N103" s="26">
        <v>6</v>
      </c>
      <c r="O103" s="26">
        <v>3</v>
      </c>
      <c r="P103" s="25"/>
      <c r="Q103" s="25"/>
      <c r="R103" s="27"/>
      <c r="S103" s="3"/>
      <c r="T103" s="3"/>
      <c r="U103" s="3"/>
      <c r="V103" s="3"/>
      <c r="W103" s="3"/>
      <c r="X103" s="3"/>
      <c r="Y103" s="3"/>
      <c r="Z103" s="3"/>
    </row>
    <row r="104" spans="1:26" ht="15" customHeight="1">
      <c r="A104" s="28"/>
      <c r="B104" s="29"/>
      <c r="C104" s="30"/>
      <c r="D104" s="49"/>
      <c r="E104" s="30"/>
      <c r="F104" s="30"/>
      <c r="G104" s="30"/>
      <c r="H104" s="30" t="s">
        <v>48</v>
      </c>
      <c r="I104" s="29"/>
      <c r="J104" s="31"/>
      <c r="K104" s="31"/>
      <c r="L104" s="31">
        <v>3</v>
      </c>
      <c r="M104" s="31">
        <v>6</v>
      </c>
      <c r="N104" s="31">
        <v>6</v>
      </c>
      <c r="O104" s="31">
        <v>3</v>
      </c>
      <c r="P104" s="30"/>
      <c r="Q104" s="25"/>
      <c r="R104" s="27"/>
      <c r="S104" s="3"/>
      <c r="T104" s="3"/>
      <c r="U104" s="3"/>
      <c r="V104" s="3"/>
      <c r="W104" s="3"/>
      <c r="X104" s="3"/>
      <c r="Y104" s="3"/>
      <c r="Z104" s="3"/>
    </row>
    <row r="105" spans="1:26" ht="15" customHeight="1">
      <c r="A105" s="32"/>
      <c r="B105" s="33"/>
      <c r="C105" s="34"/>
      <c r="D105" s="50"/>
      <c r="E105" s="34"/>
      <c r="F105" s="34"/>
      <c r="G105" s="34"/>
      <c r="H105" s="34" t="s">
        <v>49</v>
      </c>
      <c r="I105" s="33"/>
      <c r="J105" s="15"/>
      <c r="K105" s="15"/>
      <c r="L105" s="15">
        <v>3</v>
      </c>
      <c r="M105" s="15">
        <v>6</v>
      </c>
      <c r="N105" s="15">
        <v>6</v>
      </c>
      <c r="O105" s="15">
        <v>3</v>
      </c>
      <c r="P105" s="34"/>
      <c r="Q105" s="25"/>
      <c r="R105" s="27"/>
      <c r="S105" s="3"/>
      <c r="T105" s="3"/>
      <c r="U105" s="3"/>
      <c r="V105" s="3"/>
      <c r="W105" s="3"/>
      <c r="X105" s="3"/>
      <c r="Y105" s="3"/>
      <c r="Z105" s="3"/>
    </row>
    <row r="106" spans="1:26" ht="15.5">
      <c r="A106" s="17"/>
      <c r="B106" s="18">
        <v>1</v>
      </c>
      <c r="C106" s="19"/>
      <c r="D106" s="19"/>
      <c r="E106" s="19"/>
      <c r="F106" s="19"/>
      <c r="G106" s="19"/>
      <c r="H106" s="19" t="s">
        <v>97</v>
      </c>
      <c r="I106" s="18"/>
      <c r="J106" s="21"/>
      <c r="K106" s="21"/>
      <c r="L106" s="21"/>
      <c r="M106" s="21"/>
      <c r="N106" s="21"/>
      <c r="O106" s="21"/>
      <c r="P106" s="19">
        <v>71</v>
      </c>
      <c r="Q106" s="19">
        <f>B106*P106</f>
        <v>71</v>
      </c>
      <c r="R106" s="22">
        <f>Q106/12</f>
        <v>5.916666666666667</v>
      </c>
      <c r="S106" s="3"/>
      <c r="T106" s="3"/>
      <c r="U106" s="3"/>
      <c r="V106" s="3"/>
      <c r="W106" s="3"/>
      <c r="X106" s="3"/>
      <c r="Y106" s="3"/>
      <c r="Z106" s="3"/>
    </row>
    <row r="107" spans="1:26" ht="15.5">
      <c r="A107" s="35"/>
      <c r="B107" s="36"/>
      <c r="C107" s="37"/>
      <c r="D107" s="37"/>
      <c r="E107" s="37"/>
      <c r="F107" s="37"/>
      <c r="G107" s="37"/>
      <c r="H107" s="37"/>
      <c r="I107" s="36"/>
      <c r="J107" s="38"/>
      <c r="K107" s="26"/>
      <c r="L107" s="26"/>
      <c r="M107" s="26"/>
      <c r="N107" s="26"/>
      <c r="O107" s="26"/>
      <c r="P107" s="25"/>
      <c r="Q107" s="25"/>
      <c r="R107" s="27"/>
      <c r="S107" s="3"/>
      <c r="T107" s="3"/>
      <c r="U107" s="3"/>
      <c r="V107" s="3"/>
      <c r="W107" s="3"/>
      <c r="X107" s="3"/>
      <c r="Y107" s="3"/>
      <c r="Z107" s="3"/>
    </row>
    <row r="108" spans="1:26" ht="15.5">
      <c r="A108" s="23"/>
      <c r="B108" s="24"/>
      <c r="C108" s="25"/>
      <c r="D108" s="25"/>
      <c r="E108" s="25"/>
      <c r="F108" s="25"/>
      <c r="G108" s="25"/>
      <c r="H108" s="25"/>
      <c r="I108" s="24"/>
      <c r="J108" s="26"/>
      <c r="K108" s="26"/>
      <c r="L108" s="26"/>
      <c r="M108" s="26"/>
      <c r="N108" s="26"/>
      <c r="O108" s="26"/>
      <c r="P108" s="25"/>
      <c r="Q108" s="25"/>
      <c r="R108" s="27"/>
      <c r="S108" s="3"/>
      <c r="T108" s="3"/>
      <c r="U108" s="3"/>
      <c r="V108" s="3"/>
      <c r="W108" s="3"/>
      <c r="X108" s="3"/>
      <c r="Y108" s="3"/>
      <c r="Z108" s="3"/>
    </row>
    <row r="109" spans="1:26" ht="15.5">
      <c r="A109" s="32"/>
      <c r="B109" s="33"/>
      <c r="C109" s="34"/>
      <c r="D109" s="34"/>
      <c r="E109" s="34"/>
      <c r="F109" s="34"/>
      <c r="G109" s="34"/>
      <c r="H109" s="34"/>
      <c r="I109" s="33"/>
      <c r="J109" s="15"/>
      <c r="K109" s="15"/>
      <c r="L109" s="15"/>
      <c r="M109" s="15"/>
      <c r="N109" s="15"/>
      <c r="O109" s="15"/>
      <c r="P109" s="34"/>
      <c r="Q109" s="25"/>
      <c r="R109" s="27"/>
      <c r="S109" s="3"/>
      <c r="T109" s="3"/>
      <c r="U109" s="3"/>
      <c r="V109" s="3"/>
      <c r="W109" s="3"/>
      <c r="X109" s="3"/>
      <c r="Y109" s="3"/>
      <c r="Z109" s="3"/>
    </row>
    <row r="110" spans="1:26" ht="15.5">
      <c r="A110" s="17"/>
      <c r="B110" s="18"/>
      <c r="C110" s="19"/>
      <c r="D110" s="19"/>
      <c r="E110" s="19"/>
      <c r="F110" s="19"/>
      <c r="G110" s="19"/>
      <c r="H110" s="19"/>
      <c r="I110" s="18"/>
      <c r="J110" s="21"/>
      <c r="K110" s="21"/>
      <c r="L110" s="21"/>
      <c r="M110" s="21"/>
      <c r="N110" s="21"/>
      <c r="O110" s="21"/>
      <c r="P110" s="19"/>
      <c r="Q110" s="19"/>
      <c r="R110" s="22"/>
      <c r="S110" s="3"/>
      <c r="T110" s="3"/>
      <c r="U110" s="3"/>
      <c r="V110" s="3"/>
      <c r="W110" s="3"/>
      <c r="X110" s="3"/>
      <c r="Y110" s="3"/>
      <c r="Z110" s="3"/>
    </row>
    <row r="111" spans="1:26" ht="15.5">
      <c r="A111" s="35"/>
      <c r="B111" s="36"/>
      <c r="C111" s="37"/>
      <c r="D111" s="37"/>
      <c r="E111" s="37"/>
      <c r="F111" s="37"/>
      <c r="G111" s="37"/>
      <c r="H111" s="37"/>
      <c r="I111" s="36"/>
      <c r="J111" s="38"/>
      <c r="K111" s="26"/>
      <c r="L111" s="26"/>
      <c r="M111" s="26"/>
      <c r="N111" s="26"/>
      <c r="O111" s="26"/>
      <c r="P111" s="25"/>
      <c r="Q111" s="25"/>
      <c r="R111" s="27"/>
      <c r="S111" s="3"/>
      <c r="T111" s="3"/>
      <c r="U111" s="3"/>
      <c r="V111" s="3"/>
      <c r="W111" s="3"/>
      <c r="X111" s="3"/>
      <c r="Y111" s="3"/>
      <c r="Z111" s="3"/>
    </row>
    <row r="112" spans="1:26" ht="15.5">
      <c r="A112" s="23"/>
      <c r="B112" s="24"/>
      <c r="C112" s="25"/>
      <c r="D112" s="25"/>
      <c r="E112" s="25"/>
      <c r="F112" s="25"/>
      <c r="G112" s="25"/>
      <c r="H112" s="25"/>
      <c r="I112" s="24"/>
      <c r="J112" s="26"/>
      <c r="K112" s="26"/>
      <c r="L112" s="26"/>
      <c r="M112" s="26"/>
      <c r="N112" s="26"/>
      <c r="O112" s="26"/>
      <c r="P112" s="25"/>
      <c r="Q112" s="25"/>
      <c r="R112" s="27"/>
      <c r="S112" s="3"/>
      <c r="T112" s="3"/>
      <c r="U112" s="3"/>
      <c r="V112" s="3"/>
      <c r="W112" s="3"/>
      <c r="X112" s="3"/>
      <c r="Y112" s="3"/>
      <c r="Z112" s="3"/>
    </row>
    <row r="113" spans="1:26" ht="15.5">
      <c r="A113" s="32"/>
      <c r="B113" s="33"/>
      <c r="C113" s="34"/>
      <c r="D113" s="34"/>
      <c r="E113" s="34"/>
      <c r="F113" s="34"/>
      <c r="G113" s="34"/>
      <c r="H113" s="34"/>
      <c r="I113" s="33"/>
      <c r="J113" s="15"/>
      <c r="K113" s="15"/>
      <c r="L113" s="15"/>
      <c r="M113" s="15"/>
      <c r="N113" s="15"/>
      <c r="O113" s="15"/>
      <c r="P113" s="34"/>
      <c r="Q113" s="34"/>
      <c r="R113" s="39"/>
      <c r="S113" s="3"/>
      <c r="T113" s="3"/>
      <c r="U113" s="3"/>
      <c r="V113" s="3"/>
      <c r="W113" s="3"/>
      <c r="X113" s="3"/>
      <c r="Y113" s="3"/>
      <c r="Z113" s="3"/>
    </row>
    <row r="114" spans="1:26" ht="15.5">
      <c r="A114" s="40" t="s">
        <v>51</v>
      </c>
      <c r="B114" s="41">
        <f>SUM(B101:B113)</f>
        <v>21</v>
      </c>
      <c r="C114" s="42" t="s">
        <v>52</v>
      </c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3" t="s">
        <v>53</v>
      </c>
      <c r="Q114" s="42">
        <f>SUM(Q101:Q113)</f>
        <v>1871</v>
      </c>
      <c r="R114" s="44">
        <f>Q114/12</f>
        <v>155.91666666666666</v>
      </c>
      <c r="S114" s="3"/>
      <c r="T114" s="3"/>
      <c r="U114" s="3"/>
      <c r="V114" s="3"/>
      <c r="W114" s="3"/>
      <c r="X114" s="3"/>
      <c r="Y114" s="3"/>
      <c r="Z114" s="3"/>
    </row>
    <row r="115" spans="1:26" ht="15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5">
      <c r="A116" s="3" t="s">
        <v>54</v>
      </c>
      <c r="B116" s="3" t="s">
        <v>98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5">
      <c r="A117" s="3" t="s">
        <v>56</v>
      </c>
      <c r="B117" s="3" t="s">
        <v>99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5">
      <c r="A118" s="3" t="s">
        <v>58</v>
      </c>
      <c r="B118" s="3" t="s">
        <v>100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5">
      <c r="A119" s="3" t="s">
        <v>60</v>
      </c>
      <c r="B119" s="3" t="s">
        <v>101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5">
      <c r="A120" s="3" t="s">
        <v>62</v>
      </c>
      <c r="B120" s="3" t="s">
        <v>102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2.5">
      <c r="D121" s="52" t="s">
        <v>0</v>
      </c>
      <c r="E121" s="53"/>
      <c r="F121" s="53"/>
      <c r="G121" s="53"/>
      <c r="H121" s="53"/>
      <c r="I121" s="53"/>
      <c r="J121" s="53"/>
      <c r="K121" s="53"/>
      <c r="L121" s="53"/>
      <c r="M121" s="53"/>
      <c r="N121" s="53"/>
    </row>
    <row r="122" spans="1:26" ht="16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</row>
    <row r="123" spans="1:26" ht="16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</row>
    <row r="124" spans="1:26" ht="15.5">
      <c r="A124" s="3"/>
      <c r="B124" s="3"/>
      <c r="C124" s="3"/>
      <c r="D124" s="3"/>
      <c r="E124" s="3"/>
      <c r="F124" s="3"/>
      <c r="G124" s="3"/>
      <c r="H124" s="4"/>
      <c r="I124" s="4"/>
      <c r="J124" s="4"/>
      <c r="K124" s="4"/>
      <c r="L124" s="3" t="s">
        <v>1</v>
      </c>
      <c r="M124" s="3" t="s">
        <v>91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5">
      <c r="A125" s="3" t="s">
        <v>3</v>
      </c>
      <c r="B125" s="3" t="s">
        <v>4</v>
      </c>
      <c r="C125" s="3"/>
      <c r="D125" s="3"/>
      <c r="E125" s="3"/>
      <c r="F125" s="3"/>
      <c r="G125" s="3"/>
      <c r="H125" s="3"/>
      <c r="I125" s="3"/>
      <c r="J125" s="3"/>
      <c r="K125" s="3"/>
      <c r="L125" s="3" t="s">
        <v>5</v>
      </c>
      <c r="M125" s="54" t="s">
        <v>92</v>
      </c>
      <c r="N125" s="53"/>
      <c r="O125" s="53"/>
      <c r="P125" s="53"/>
      <c r="Q125" s="53"/>
      <c r="R125" s="53"/>
      <c r="S125" s="3"/>
      <c r="T125" s="3"/>
      <c r="U125" s="3"/>
      <c r="V125" s="3"/>
      <c r="W125" s="3"/>
      <c r="X125" s="3"/>
      <c r="Y125" s="3"/>
      <c r="Z125" s="3"/>
    </row>
    <row r="126" spans="1:26" ht="15.5">
      <c r="A126" s="3" t="s">
        <v>7</v>
      </c>
      <c r="B126" s="3" t="s">
        <v>8</v>
      </c>
      <c r="C126" s="3"/>
      <c r="D126" s="3"/>
      <c r="E126" s="3"/>
      <c r="F126" s="3"/>
      <c r="G126" s="3"/>
      <c r="H126" s="3"/>
      <c r="I126" s="3"/>
      <c r="J126" s="3"/>
      <c r="K126" s="3"/>
      <c r="L126" s="3" t="s">
        <v>9</v>
      </c>
      <c r="M126" s="3" t="s">
        <v>103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5">
      <c r="A127" s="3" t="s">
        <v>11</v>
      </c>
      <c r="B127" s="3" t="s">
        <v>12</v>
      </c>
      <c r="C127" s="3"/>
      <c r="D127" s="3"/>
      <c r="E127" s="3"/>
      <c r="F127" s="3"/>
      <c r="G127" s="3"/>
      <c r="H127" s="3"/>
      <c r="I127" s="3"/>
      <c r="J127" s="3"/>
      <c r="K127" s="3"/>
      <c r="L127" s="3" t="s">
        <v>13</v>
      </c>
      <c r="M127" s="3" t="s">
        <v>14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5">
      <c r="A128" s="3" t="s">
        <v>15</v>
      </c>
      <c r="B128" s="3" t="s">
        <v>16</v>
      </c>
      <c r="C128" s="3"/>
      <c r="D128" s="3"/>
      <c r="E128" s="3"/>
      <c r="F128" s="3"/>
      <c r="G128" s="3"/>
      <c r="H128" s="3"/>
      <c r="I128" s="3"/>
      <c r="J128" s="3"/>
      <c r="K128" s="3"/>
      <c r="L128" s="3" t="s">
        <v>17</v>
      </c>
      <c r="M128" s="5">
        <v>46123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5">
      <c r="A129" s="6" t="s">
        <v>18</v>
      </c>
      <c r="B129" s="7" t="s">
        <v>19</v>
      </c>
      <c r="C129" s="7" t="s">
        <v>20</v>
      </c>
      <c r="D129" s="7" t="s">
        <v>21</v>
      </c>
      <c r="E129" s="8"/>
      <c r="F129" s="8"/>
      <c r="G129" s="8"/>
      <c r="H129" s="9" t="s">
        <v>25</v>
      </c>
      <c r="I129" s="10"/>
      <c r="J129" s="11"/>
      <c r="K129" s="10"/>
      <c r="L129" s="9" t="s">
        <v>26</v>
      </c>
      <c r="M129" s="10"/>
      <c r="N129" s="10"/>
      <c r="O129" s="10"/>
      <c r="P129" s="7" t="s">
        <v>27</v>
      </c>
      <c r="Q129" s="12" t="s">
        <v>28</v>
      </c>
      <c r="R129" s="12" t="s">
        <v>28</v>
      </c>
      <c r="S129" s="3"/>
      <c r="T129" s="3"/>
      <c r="U129" s="3"/>
      <c r="V129" s="3"/>
      <c r="W129" s="3"/>
      <c r="X129" s="3"/>
      <c r="Y129" s="3"/>
      <c r="Z129" s="3"/>
    </row>
    <row r="130" spans="1:26" ht="15.5">
      <c r="A130" s="13" t="s">
        <v>29</v>
      </c>
      <c r="B130" s="14" t="s">
        <v>30</v>
      </c>
      <c r="C130" s="14" t="s">
        <v>31</v>
      </c>
      <c r="D130" s="14" t="s">
        <v>32</v>
      </c>
      <c r="E130" s="14"/>
      <c r="F130" s="14"/>
      <c r="G130" s="14"/>
      <c r="H130" s="15" t="s">
        <v>33</v>
      </c>
      <c r="I130" s="15" t="s">
        <v>34</v>
      </c>
      <c r="J130" s="14" t="s">
        <v>35</v>
      </c>
      <c r="K130" s="15"/>
      <c r="L130" s="15" t="s">
        <v>36</v>
      </c>
      <c r="M130" s="15" t="s">
        <v>37</v>
      </c>
      <c r="N130" s="15" t="s">
        <v>38</v>
      </c>
      <c r="O130" s="15" t="s">
        <v>39</v>
      </c>
      <c r="P130" s="14" t="s">
        <v>40</v>
      </c>
      <c r="Q130" s="16" t="s">
        <v>41</v>
      </c>
      <c r="R130" s="16" t="s">
        <v>42</v>
      </c>
      <c r="S130" s="3"/>
      <c r="T130" s="3"/>
      <c r="U130" s="3"/>
      <c r="V130" s="3"/>
      <c r="W130" s="3"/>
      <c r="X130" s="3"/>
      <c r="Y130" s="3"/>
      <c r="Z130" s="3"/>
    </row>
    <row r="131" spans="1:26" ht="15.5">
      <c r="A131" s="17"/>
      <c r="B131" s="18">
        <v>50</v>
      </c>
      <c r="C131" s="19" t="s">
        <v>104</v>
      </c>
      <c r="D131" s="19" t="s">
        <v>72</v>
      </c>
      <c r="E131" s="19" t="s">
        <v>45</v>
      </c>
      <c r="F131" s="20">
        <v>5</v>
      </c>
      <c r="G131" s="20">
        <f>F131*Q144</f>
        <v>15000</v>
      </c>
      <c r="H131" s="19" t="s">
        <v>46</v>
      </c>
      <c r="I131" s="18"/>
      <c r="J131" s="21"/>
      <c r="K131" s="21"/>
      <c r="L131" s="21">
        <v>2</v>
      </c>
      <c r="M131" s="21">
        <v>4</v>
      </c>
      <c r="N131" s="21">
        <v>4</v>
      </c>
      <c r="O131" s="21">
        <v>2</v>
      </c>
      <c r="P131" s="19">
        <v>60</v>
      </c>
      <c r="Q131" s="19">
        <f>B131*P131</f>
        <v>3000</v>
      </c>
      <c r="R131" s="22">
        <f>Q131/12</f>
        <v>250</v>
      </c>
      <c r="S131" s="3"/>
      <c r="T131" s="3"/>
      <c r="U131" s="3"/>
      <c r="V131" s="3"/>
      <c r="W131" s="3"/>
      <c r="X131" s="3"/>
      <c r="Y131" s="3"/>
      <c r="Z131" s="3"/>
    </row>
    <row r="132" spans="1:26" ht="15.5">
      <c r="A132" s="23"/>
      <c r="B132" s="24"/>
      <c r="C132" s="25" t="s">
        <v>73</v>
      </c>
      <c r="D132" s="48" t="s">
        <v>105</v>
      </c>
      <c r="E132" s="25"/>
      <c r="F132" s="25"/>
      <c r="G132" s="25"/>
      <c r="H132" s="25" t="s">
        <v>46</v>
      </c>
      <c r="I132" s="24"/>
      <c r="J132" s="26"/>
      <c r="K132" s="26"/>
      <c r="L132" s="26">
        <v>2</v>
      </c>
      <c r="M132" s="26">
        <v>4</v>
      </c>
      <c r="N132" s="26">
        <v>4</v>
      </c>
      <c r="O132" s="26">
        <v>2</v>
      </c>
      <c r="P132" s="25"/>
      <c r="Q132" s="25"/>
      <c r="R132" s="27"/>
      <c r="S132" s="3"/>
      <c r="T132" s="3"/>
      <c r="U132" s="3"/>
      <c r="V132" s="3"/>
      <c r="W132" s="3"/>
      <c r="X132" s="3"/>
      <c r="Y132" s="3"/>
      <c r="Z132" s="3"/>
    </row>
    <row r="133" spans="1:26" ht="15" customHeight="1">
      <c r="A133" s="23"/>
      <c r="B133" s="24"/>
      <c r="C133" s="25"/>
      <c r="D133" s="49"/>
      <c r="E133" s="25"/>
      <c r="F133" s="25"/>
      <c r="G133" s="25"/>
      <c r="H133" s="25" t="s">
        <v>46</v>
      </c>
      <c r="I133" s="24"/>
      <c r="J133" s="26"/>
      <c r="K133" s="26"/>
      <c r="L133" s="26">
        <v>2</v>
      </c>
      <c r="M133" s="26">
        <v>4</v>
      </c>
      <c r="N133" s="26">
        <v>4</v>
      </c>
      <c r="O133" s="26">
        <v>2</v>
      </c>
      <c r="P133" s="25"/>
      <c r="Q133" s="25"/>
      <c r="R133" s="27"/>
      <c r="S133" s="3"/>
      <c r="T133" s="3"/>
      <c r="U133" s="3"/>
      <c r="V133" s="3"/>
      <c r="W133" s="3"/>
      <c r="X133" s="3"/>
      <c r="Y133" s="3"/>
      <c r="Z133" s="3"/>
    </row>
    <row r="134" spans="1:26" ht="15" customHeight="1">
      <c r="A134" s="28"/>
      <c r="B134" s="29"/>
      <c r="C134" s="30"/>
      <c r="D134" s="49"/>
      <c r="E134" s="30"/>
      <c r="F134" s="30"/>
      <c r="G134" s="30"/>
      <c r="H134" s="30" t="s">
        <v>48</v>
      </c>
      <c r="I134" s="29"/>
      <c r="J134" s="31"/>
      <c r="K134" s="31"/>
      <c r="L134" s="31">
        <v>2</v>
      </c>
      <c r="M134" s="31">
        <v>4</v>
      </c>
      <c r="N134" s="31">
        <v>4</v>
      </c>
      <c r="O134" s="31">
        <v>2</v>
      </c>
      <c r="P134" s="30"/>
      <c r="Q134" s="25"/>
      <c r="R134" s="27"/>
      <c r="S134" s="3"/>
      <c r="T134" s="3"/>
      <c r="U134" s="3"/>
      <c r="V134" s="3"/>
      <c r="W134" s="3"/>
      <c r="X134" s="3"/>
      <c r="Y134" s="3"/>
      <c r="Z134" s="3"/>
    </row>
    <row r="135" spans="1:26" ht="15" customHeight="1">
      <c r="A135" s="32"/>
      <c r="B135" s="33"/>
      <c r="C135" s="34"/>
      <c r="D135" s="50"/>
      <c r="E135" s="34"/>
      <c r="F135" s="34"/>
      <c r="G135" s="34"/>
      <c r="H135" s="34" t="s">
        <v>106</v>
      </c>
      <c r="I135" s="33"/>
      <c r="J135" s="15"/>
      <c r="K135" s="15"/>
      <c r="L135" s="15">
        <v>2</v>
      </c>
      <c r="M135" s="15">
        <v>4</v>
      </c>
      <c r="N135" s="15">
        <v>4</v>
      </c>
      <c r="O135" s="15">
        <v>2</v>
      </c>
      <c r="P135" s="34"/>
      <c r="Q135" s="25"/>
      <c r="R135" s="27"/>
      <c r="S135" s="3"/>
      <c r="T135" s="3"/>
      <c r="U135" s="3"/>
      <c r="V135" s="3"/>
      <c r="W135" s="3"/>
      <c r="X135" s="3"/>
      <c r="Y135" s="3"/>
      <c r="Z135" s="3"/>
    </row>
    <row r="136" spans="1:26" ht="15.5">
      <c r="A136" s="17"/>
      <c r="B136" s="18"/>
      <c r="C136" s="19"/>
      <c r="D136" s="19"/>
      <c r="E136" s="19"/>
      <c r="F136" s="19"/>
      <c r="G136" s="19"/>
      <c r="H136" s="19"/>
      <c r="I136" s="18"/>
      <c r="J136" s="21"/>
      <c r="K136" s="21"/>
      <c r="L136" s="21"/>
      <c r="M136" s="21"/>
      <c r="N136" s="21"/>
      <c r="O136" s="21"/>
      <c r="P136" s="19"/>
      <c r="Q136" s="19"/>
      <c r="R136" s="22"/>
      <c r="S136" s="3"/>
      <c r="T136" s="3"/>
      <c r="U136" s="3"/>
      <c r="V136" s="3"/>
      <c r="W136" s="3"/>
      <c r="X136" s="3"/>
      <c r="Y136" s="3"/>
      <c r="Z136" s="3"/>
    </row>
    <row r="137" spans="1:26" ht="15.5">
      <c r="A137" s="35"/>
      <c r="B137" s="36"/>
      <c r="C137" s="37"/>
      <c r="D137" s="37"/>
      <c r="E137" s="37"/>
      <c r="F137" s="37"/>
      <c r="G137" s="37"/>
      <c r="H137" s="37"/>
      <c r="I137" s="36"/>
      <c r="J137" s="38"/>
      <c r="K137" s="26"/>
      <c r="L137" s="26"/>
      <c r="M137" s="26"/>
      <c r="N137" s="26"/>
      <c r="O137" s="26"/>
      <c r="P137" s="25"/>
      <c r="Q137" s="25"/>
      <c r="R137" s="27"/>
      <c r="S137" s="3"/>
      <c r="T137" s="3"/>
      <c r="U137" s="3"/>
      <c r="V137" s="3"/>
      <c r="W137" s="3"/>
      <c r="X137" s="3"/>
      <c r="Y137" s="3"/>
      <c r="Z137" s="3"/>
    </row>
    <row r="138" spans="1:26" ht="15.5">
      <c r="A138" s="23"/>
      <c r="B138" s="24"/>
      <c r="C138" s="25"/>
      <c r="D138" s="25"/>
      <c r="E138" s="25"/>
      <c r="F138" s="25"/>
      <c r="G138" s="25"/>
      <c r="H138" s="25"/>
      <c r="I138" s="24"/>
      <c r="J138" s="26"/>
      <c r="K138" s="26"/>
      <c r="L138" s="26"/>
      <c r="M138" s="26"/>
      <c r="N138" s="26"/>
      <c r="O138" s="26"/>
      <c r="P138" s="25"/>
      <c r="Q138" s="25"/>
      <c r="R138" s="27"/>
      <c r="S138" s="3"/>
      <c r="T138" s="3"/>
      <c r="U138" s="3"/>
      <c r="V138" s="3"/>
      <c r="W138" s="3"/>
      <c r="X138" s="3"/>
      <c r="Y138" s="3"/>
      <c r="Z138" s="3"/>
    </row>
    <row r="139" spans="1:26" ht="15.5">
      <c r="A139" s="32"/>
      <c r="B139" s="33"/>
      <c r="C139" s="34"/>
      <c r="D139" s="34"/>
      <c r="E139" s="34"/>
      <c r="F139" s="34"/>
      <c r="G139" s="34"/>
      <c r="H139" s="34"/>
      <c r="I139" s="33"/>
      <c r="J139" s="15"/>
      <c r="K139" s="15"/>
      <c r="L139" s="15"/>
      <c r="M139" s="15"/>
      <c r="N139" s="15"/>
      <c r="O139" s="15"/>
      <c r="P139" s="34"/>
      <c r="Q139" s="25"/>
      <c r="R139" s="27"/>
      <c r="S139" s="3"/>
      <c r="T139" s="3"/>
      <c r="U139" s="3"/>
      <c r="V139" s="3"/>
      <c r="W139" s="3"/>
      <c r="X139" s="3"/>
      <c r="Y139" s="3"/>
      <c r="Z139" s="3"/>
    </row>
    <row r="140" spans="1:26" ht="15.5">
      <c r="A140" s="17"/>
      <c r="B140" s="18"/>
      <c r="C140" s="19"/>
      <c r="D140" s="19"/>
      <c r="E140" s="19"/>
      <c r="F140" s="19"/>
      <c r="G140" s="19"/>
      <c r="H140" s="19"/>
      <c r="I140" s="18"/>
      <c r="J140" s="21"/>
      <c r="K140" s="21"/>
      <c r="L140" s="21"/>
      <c r="M140" s="21"/>
      <c r="N140" s="21"/>
      <c r="O140" s="21"/>
      <c r="P140" s="19"/>
      <c r="Q140" s="19"/>
      <c r="R140" s="22"/>
      <c r="S140" s="3"/>
      <c r="T140" s="3"/>
      <c r="U140" s="3"/>
      <c r="V140" s="3"/>
      <c r="W140" s="3"/>
      <c r="X140" s="3"/>
      <c r="Y140" s="3"/>
      <c r="Z140" s="3"/>
    </row>
    <row r="141" spans="1:26" ht="15.5">
      <c r="A141" s="35"/>
      <c r="B141" s="36"/>
      <c r="C141" s="37"/>
      <c r="D141" s="37"/>
      <c r="E141" s="37"/>
      <c r="F141" s="37"/>
      <c r="G141" s="37"/>
      <c r="H141" s="37"/>
      <c r="I141" s="36"/>
      <c r="J141" s="38"/>
      <c r="K141" s="26"/>
      <c r="L141" s="26"/>
      <c r="M141" s="26"/>
      <c r="N141" s="26"/>
      <c r="O141" s="26"/>
      <c r="P141" s="25"/>
      <c r="Q141" s="25"/>
      <c r="R141" s="27"/>
      <c r="S141" s="3"/>
      <c r="T141" s="3"/>
      <c r="U141" s="3"/>
      <c r="V141" s="3"/>
      <c r="W141" s="3"/>
      <c r="X141" s="3"/>
      <c r="Y141" s="3"/>
      <c r="Z141" s="3"/>
    </row>
    <row r="142" spans="1:26" ht="15.5">
      <c r="A142" s="23"/>
      <c r="B142" s="24"/>
      <c r="C142" s="25"/>
      <c r="D142" s="25"/>
      <c r="E142" s="25"/>
      <c r="F142" s="25"/>
      <c r="G142" s="25"/>
      <c r="H142" s="25"/>
      <c r="I142" s="24"/>
      <c r="J142" s="26"/>
      <c r="K142" s="26"/>
      <c r="L142" s="26"/>
      <c r="M142" s="26"/>
      <c r="N142" s="26"/>
      <c r="O142" s="26"/>
      <c r="P142" s="25"/>
      <c r="Q142" s="25"/>
      <c r="R142" s="27"/>
      <c r="S142" s="3"/>
      <c r="T142" s="3"/>
      <c r="U142" s="3"/>
      <c r="V142" s="3"/>
      <c r="W142" s="3"/>
      <c r="X142" s="3"/>
      <c r="Y142" s="3"/>
      <c r="Z142" s="3"/>
    </row>
    <row r="143" spans="1:26" ht="15.5">
      <c r="A143" s="32"/>
      <c r="B143" s="33"/>
      <c r="C143" s="34"/>
      <c r="D143" s="34"/>
      <c r="E143" s="34"/>
      <c r="F143" s="34"/>
      <c r="G143" s="34"/>
      <c r="H143" s="34"/>
      <c r="I143" s="33"/>
      <c r="J143" s="15"/>
      <c r="K143" s="15"/>
      <c r="L143" s="15"/>
      <c r="M143" s="15"/>
      <c r="N143" s="15"/>
      <c r="O143" s="15"/>
      <c r="P143" s="34"/>
      <c r="Q143" s="34"/>
      <c r="R143" s="39"/>
      <c r="S143" s="3"/>
      <c r="T143" s="3"/>
      <c r="U143" s="3"/>
      <c r="V143" s="3"/>
      <c r="W143" s="3"/>
      <c r="X143" s="3"/>
      <c r="Y143" s="3"/>
      <c r="Z143" s="3"/>
    </row>
    <row r="144" spans="1:26" ht="15.5">
      <c r="A144" s="40" t="s">
        <v>51</v>
      </c>
      <c r="B144" s="41">
        <f>SUM(B131:B143)</f>
        <v>50</v>
      </c>
      <c r="C144" s="42" t="s">
        <v>52</v>
      </c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3" t="s">
        <v>53</v>
      </c>
      <c r="Q144" s="42">
        <f>SUM(Q131:Q143)</f>
        <v>3000</v>
      </c>
      <c r="R144" s="44">
        <f>Q144/12</f>
        <v>250</v>
      </c>
      <c r="S144" s="3"/>
      <c r="T144" s="3"/>
      <c r="U144" s="3"/>
      <c r="V144" s="3"/>
      <c r="W144" s="3"/>
      <c r="X144" s="3"/>
      <c r="Y144" s="3"/>
      <c r="Z144" s="3"/>
    </row>
    <row r="145" spans="1:26" ht="15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5">
      <c r="A146" s="3" t="s">
        <v>54</v>
      </c>
      <c r="B146" s="3" t="s">
        <v>107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5">
      <c r="A147" s="3" t="s">
        <v>56</v>
      </c>
      <c r="B147" s="3" t="s">
        <v>108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5">
      <c r="A148" s="3" t="s">
        <v>58</v>
      </c>
      <c r="B148" s="3" t="s">
        <v>109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5">
      <c r="A149" s="3" t="s">
        <v>60</v>
      </c>
      <c r="B149" s="3" t="s">
        <v>110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5">
      <c r="A150" s="3" t="s">
        <v>62</v>
      </c>
      <c r="B150" s="3" t="s">
        <v>111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2.5">
      <c r="D151" s="52" t="s">
        <v>0</v>
      </c>
      <c r="E151" s="53"/>
      <c r="F151" s="53"/>
      <c r="G151" s="53"/>
      <c r="H151" s="53"/>
      <c r="I151" s="53"/>
      <c r="J151" s="53"/>
      <c r="K151" s="53"/>
      <c r="L151" s="53"/>
      <c r="M151" s="53"/>
      <c r="N151" s="53"/>
    </row>
    <row r="152" spans="1:26" ht="16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</row>
    <row r="153" spans="1:26" ht="16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</row>
    <row r="154" spans="1:26" ht="15.5">
      <c r="A154" s="3"/>
      <c r="B154" s="3"/>
      <c r="C154" s="3"/>
      <c r="D154" s="3"/>
      <c r="E154" s="3"/>
      <c r="F154" s="3"/>
      <c r="G154" s="3"/>
      <c r="H154" s="4"/>
      <c r="I154" s="4"/>
      <c r="J154" s="4"/>
      <c r="K154" s="4"/>
      <c r="L154" s="3" t="s">
        <v>1</v>
      </c>
      <c r="M154" s="3" t="s">
        <v>112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5">
      <c r="A155" s="3" t="s">
        <v>3</v>
      </c>
      <c r="B155" s="3" t="s">
        <v>4</v>
      </c>
      <c r="C155" s="3"/>
      <c r="D155" s="3"/>
      <c r="E155" s="3"/>
      <c r="F155" s="3"/>
      <c r="G155" s="3"/>
      <c r="H155" s="3"/>
      <c r="I155" s="3"/>
      <c r="J155" s="3"/>
      <c r="K155" s="3"/>
      <c r="L155" s="3" t="s">
        <v>5</v>
      </c>
      <c r="M155" s="54" t="s">
        <v>113</v>
      </c>
      <c r="N155" s="53"/>
      <c r="O155" s="53"/>
      <c r="P155" s="53"/>
      <c r="Q155" s="53"/>
      <c r="R155" s="53"/>
      <c r="S155" s="3"/>
      <c r="T155" s="3"/>
      <c r="U155" s="3"/>
      <c r="V155" s="3"/>
      <c r="W155" s="3"/>
      <c r="X155" s="3"/>
      <c r="Y155" s="3"/>
      <c r="Z155" s="3"/>
    </row>
    <row r="156" spans="1:26" ht="15.5">
      <c r="A156" s="3" t="s">
        <v>7</v>
      </c>
      <c r="B156" s="3" t="s">
        <v>8</v>
      </c>
      <c r="C156" s="3"/>
      <c r="D156" s="3"/>
      <c r="E156" s="3"/>
      <c r="F156" s="3"/>
      <c r="G156" s="3"/>
      <c r="H156" s="3"/>
      <c r="I156" s="3"/>
      <c r="J156" s="3"/>
      <c r="K156" s="3"/>
      <c r="L156" s="3" t="s">
        <v>9</v>
      </c>
      <c r="M156" s="3" t="s">
        <v>114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5">
      <c r="A157" s="3" t="s">
        <v>11</v>
      </c>
      <c r="B157" s="3" t="s">
        <v>12</v>
      </c>
      <c r="C157" s="3"/>
      <c r="D157" s="3"/>
      <c r="E157" s="3"/>
      <c r="F157" s="3"/>
      <c r="G157" s="3"/>
      <c r="H157" s="3"/>
      <c r="I157" s="3"/>
      <c r="J157" s="3"/>
      <c r="K157" s="3"/>
      <c r="L157" s="3" t="s">
        <v>13</v>
      </c>
      <c r="M157" s="3" t="s">
        <v>14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5">
      <c r="A158" s="3" t="s">
        <v>15</v>
      </c>
      <c r="B158" s="3" t="s">
        <v>16</v>
      </c>
      <c r="C158" s="3"/>
      <c r="D158" s="3"/>
      <c r="E158" s="3"/>
      <c r="F158" s="3"/>
      <c r="G158" s="3"/>
      <c r="H158" s="3"/>
      <c r="I158" s="3"/>
      <c r="J158" s="3"/>
      <c r="K158" s="3"/>
      <c r="L158" s="3" t="s">
        <v>17</v>
      </c>
      <c r="M158" s="5">
        <v>46123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5">
      <c r="A159" s="6" t="s">
        <v>18</v>
      </c>
      <c r="B159" s="7" t="s">
        <v>19</v>
      </c>
      <c r="C159" s="7" t="s">
        <v>20</v>
      </c>
      <c r="D159" s="7" t="s">
        <v>21</v>
      </c>
      <c r="E159" s="8"/>
      <c r="F159" s="8"/>
      <c r="G159" s="8"/>
      <c r="H159" s="9" t="s">
        <v>25</v>
      </c>
      <c r="I159" s="10"/>
      <c r="J159" s="11"/>
      <c r="K159" s="10"/>
      <c r="L159" s="9" t="s">
        <v>26</v>
      </c>
      <c r="M159" s="10"/>
      <c r="N159" s="10"/>
      <c r="O159" s="10"/>
      <c r="P159" s="7" t="s">
        <v>27</v>
      </c>
      <c r="Q159" s="12" t="s">
        <v>28</v>
      </c>
      <c r="R159" s="12" t="s">
        <v>28</v>
      </c>
      <c r="S159" s="3"/>
      <c r="T159" s="3"/>
      <c r="U159" s="3"/>
      <c r="V159" s="3"/>
      <c r="W159" s="3"/>
      <c r="X159" s="3"/>
      <c r="Y159" s="3"/>
      <c r="Z159" s="3"/>
    </row>
    <row r="160" spans="1:26" ht="15.5">
      <c r="A160" s="13" t="s">
        <v>29</v>
      </c>
      <c r="B160" s="14" t="s">
        <v>30</v>
      </c>
      <c r="C160" s="14" t="s">
        <v>31</v>
      </c>
      <c r="D160" s="14" t="s">
        <v>32</v>
      </c>
      <c r="E160" s="14"/>
      <c r="F160" s="14"/>
      <c r="G160" s="14"/>
      <c r="H160" s="15" t="s">
        <v>33</v>
      </c>
      <c r="I160" s="15" t="s">
        <v>34</v>
      </c>
      <c r="J160" s="14" t="s">
        <v>35</v>
      </c>
      <c r="K160" s="15"/>
      <c r="L160" s="15" t="s">
        <v>67</v>
      </c>
      <c r="M160" s="15" t="s">
        <v>68</v>
      </c>
      <c r="N160" s="15" t="s">
        <v>69</v>
      </c>
      <c r="O160" s="15" t="s">
        <v>70</v>
      </c>
      <c r="P160" s="14" t="s">
        <v>40</v>
      </c>
      <c r="Q160" s="16" t="s">
        <v>41</v>
      </c>
      <c r="R160" s="16" t="s">
        <v>42</v>
      </c>
      <c r="S160" s="3"/>
      <c r="T160" s="3"/>
      <c r="U160" s="3"/>
      <c r="V160" s="3"/>
      <c r="W160" s="3"/>
      <c r="X160" s="3"/>
      <c r="Y160" s="3"/>
      <c r="Z160" s="3"/>
    </row>
    <row r="161" spans="1:26" ht="15.5">
      <c r="A161" s="17"/>
      <c r="B161" s="18">
        <v>42</v>
      </c>
      <c r="C161" s="19" t="s">
        <v>115</v>
      </c>
      <c r="D161" s="19" t="s">
        <v>72</v>
      </c>
      <c r="E161" s="19" t="s">
        <v>45</v>
      </c>
      <c r="F161" s="20">
        <v>5.5</v>
      </c>
      <c r="G161" s="20">
        <f>F161*Q174</f>
        <v>13860</v>
      </c>
      <c r="H161" s="19" t="s">
        <v>46</v>
      </c>
      <c r="I161" s="18"/>
      <c r="J161" s="21"/>
      <c r="K161" s="21"/>
      <c r="L161" s="21">
        <v>2</v>
      </c>
      <c r="M161" s="21">
        <v>4</v>
      </c>
      <c r="N161" s="21">
        <v>4</v>
      </c>
      <c r="O161" s="21">
        <v>2</v>
      </c>
      <c r="P161" s="19">
        <v>60</v>
      </c>
      <c r="Q161" s="19">
        <f>B161*P161</f>
        <v>2520</v>
      </c>
      <c r="R161" s="22">
        <f>Q161/12</f>
        <v>210</v>
      </c>
      <c r="S161" s="3"/>
      <c r="T161" s="3"/>
      <c r="U161" s="3"/>
      <c r="V161" s="3"/>
      <c r="W161" s="3"/>
      <c r="X161" s="3"/>
      <c r="Y161" s="3"/>
      <c r="Z161" s="3"/>
    </row>
    <row r="162" spans="1:26" ht="15.5">
      <c r="A162" s="23"/>
      <c r="B162" s="24"/>
      <c r="C162" s="25" t="s">
        <v>73</v>
      </c>
      <c r="D162" s="48" t="s">
        <v>116</v>
      </c>
      <c r="E162" s="25"/>
      <c r="F162" s="25"/>
      <c r="G162" s="25"/>
      <c r="H162" s="25" t="s">
        <v>46</v>
      </c>
      <c r="I162" s="24"/>
      <c r="J162" s="26"/>
      <c r="K162" s="26"/>
      <c r="L162" s="26">
        <v>2</v>
      </c>
      <c r="M162" s="26">
        <v>4</v>
      </c>
      <c r="N162" s="26">
        <v>4</v>
      </c>
      <c r="O162" s="26">
        <v>2</v>
      </c>
      <c r="P162" s="25"/>
      <c r="Q162" s="25"/>
      <c r="R162" s="27"/>
      <c r="S162" s="3"/>
      <c r="T162" s="3"/>
      <c r="U162" s="3"/>
      <c r="V162" s="3"/>
      <c r="W162" s="3"/>
      <c r="X162" s="3"/>
      <c r="Y162" s="3"/>
      <c r="Z162" s="3"/>
    </row>
    <row r="163" spans="1:26" ht="15" customHeight="1">
      <c r="A163" s="23"/>
      <c r="B163" s="24"/>
      <c r="C163" s="25"/>
      <c r="D163" s="49"/>
      <c r="E163" s="25"/>
      <c r="F163" s="25"/>
      <c r="G163" s="25"/>
      <c r="H163" s="25" t="s">
        <v>46</v>
      </c>
      <c r="I163" s="24"/>
      <c r="J163" s="26"/>
      <c r="K163" s="26"/>
      <c r="L163" s="26">
        <v>2</v>
      </c>
      <c r="M163" s="26">
        <v>4</v>
      </c>
      <c r="N163" s="26">
        <v>4</v>
      </c>
      <c r="O163" s="26">
        <v>2</v>
      </c>
      <c r="P163" s="25"/>
      <c r="Q163" s="25"/>
      <c r="R163" s="27"/>
      <c r="S163" s="3"/>
      <c r="T163" s="3"/>
      <c r="U163" s="3"/>
      <c r="V163" s="3"/>
      <c r="W163" s="3"/>
      <c r="X163" s="3"/>
      <c r="Y163" s="3"/>
      <c r="Z163" s="3"/>
    </row>
    <row r="164" spans="1:26" ht="15" customHeight="1">
      <c r="A164" s="28"/>
      <c r="B164" s="29"/>
      <c r="C164" s="30"/>
      <c r="D164" s="49"/>
      <c r="E164" s="30"/>
      <c r="F164" s="30"/>
      <c r="G164" s="30"/>
      <c r="H164" s="30" t="s">
        <v>48</v>
      </c>
      <c r="I164" s="29"/>
      <c r="J164" s="31"/>
      <c r="K164" s="31"/>
      <c r="L164" s="31">
        <v>2</v>
      </c>
      <c r="M164" s="31">
        <v>4</v>
      </c>
      <c r="N164" s="31">
        <v>4</v>
      </c>
      <c r="O164" s="31">
        <v>2</v>
      </c>
      <c r="P164" s="30"/>
      <c r="Q164" s="25"/>
      <c r="R164" s="27"/>
      <c r="S164" s="3"/>
      <c r="T164" s="3"/>
      <c r="U164" s="3"/>
      <c r="V164" s="3"/>
      <c r="W164" s="3"/>
      <c r="X164" s="3"/>
      <c r="Y164" s="3"/>
      <c r="Z164" s="3"/>
    </row>
    <row r="165" spans="1:26" ht="15" customHeight="1">
      <c r="A165" s="32"/>
      <c r="B165" s="33"/>
      <c r="C165" s="34"/>
      <c r="D165" s="50"/>
      <c r="E165" s="34"/>
      <c r="F165" s="34"/>
      <c r="G165" s="34"/>
      <c r="H165" s="34" t="s">
        <v>49</v>
      </c>
      <c r="I165" s="33"/>
      <c r="J165" s="15"/>
      <c r="K165" s="15"/>
      <c r="L165" s="15">
        <v>2</v>
      </c>
      <c r="M165" s="15">
        <v>4</v>
      </c>
      <c r="N165" s="15">
        <v>4</v>
      </c>
      <c r="O165" s="15">
        <v>2</v>
      </c>
      <c r="P165" s="34"/>
      <c r="Q165" s="25"/>
      <c r="R165" s="27"/>
      <c r="S165" s="3"/>
      <c r="T165" s="3"/>
      <c r="U165" s="3"/>
      <c r="V165" s="3"/>
      <c r="W165" s="3"/>
      <c r="X165" s="3"/>
      <c r="Y165" s="3"/>
      <c r="Z165" s="3"/>
    </row>
    <row r="166" spans="1:26" ht="15.5">
      <c r="A166" s="17"/>
      <c r="B166" s="18"/>
      <c r="C166" s="19"/>
      <c r="D166" s="19"/>
      <c r="E166" s="19"/>
      <c r="F166" s="19"/>
      <c r="G166" s="19"/>
      <c r="H166" s="19"/>
      <c r="I166" s="18"/>
      <c r="J166" s="21"/>
      <c r="K166" s="21"/>
      <c r="L166" s="21"/>
      <c r="M166" s="21"/>
      <c r="N166" s="21"/>
      <c r="O166" s="21"/>
      <c r="P166" s="19"/>
      <c r="Q166" s="19"/>
      <c r="R166" s="22"/>
      <c r="S166" s="3"/>
      <c r="T166" s="3"/>
      <c r="U166" s="3"/>
      <c r="V166" s="3"/>
      <c r="W166" s="3"/>
      <c r="X166" s="3"/>
      <c r="Y166" s="3"/>
      <c r="Z166" s="3"/>
    </row>
    <row r="167" spans="1:26" ht="15.5">
      <c r="A167" s="35"/>
      <c r="B167" s="36"/>
      <c r="C167" s="37"/>
      <c r="D167" s="37"/>
      <c r="E167" s="37"/>
      <c r="F167" s="37"/>
      <c r="G167" s="37"/>
      <c r="H167" s="37"/>
      <c r="I167" s="36"/>
      <c r="J167" s="38"/>
      <c r="K167" s="26"/>
      <c r="L167" s="26"/>
      <c r="M167" s="26"/>
      <c r="N167" s="26"/>
      <c r="O167" s="26"/>
      <c r="P167" s="25"/>
      <c r="Q167" s="25"/>
      <c r="R167" s="27"/>
      <c r="S167" s="3"/>
      <c r="T167" s="3"/>
      <c r="U167" s="3"/>
      <c r="V167" s="3"/>
      <c r="W167" s="3"/>
      <c r="X167" s="3"/>
      <c r="Y167" s="3"/>
      <c r="Z167" s="3"/>
    </row>
    <row r="168" spans="1:26" ht="15.5">
      <c r="A168" s="23"/>
      <c r="B168" s="24"/>
      <c r="C168" s="25"/>
      <c r="D168" s="25"/>
      <c r="E168" s="25"/>
      <c r="F168" s="25"/>
      <c r="G168" s="25"/>
      <c r="H168" s="25"/>
      <c r="I168" s="24"/>
      <c r="J168" s="26"/>
      <c r="K168" s="26"/>
      <c r="L168" s="26"/>
      <c r="M168" s="26"/>
      <c r="N168" s="26"/>
      <c r="O168" s="26"/>
      <c r="P168" s="25"/>
      <c r="Q168" s="25"/>
      <c r="R168" s="27"/>
      <c r="S168" s="3"/>
      <c r="T168" s="3"/>
      <c r="U168" s="3"/>
      <c r="V168" s="3"/>
      <c r="W168" s="3"/>
      <c r="X168" s="3"/>
      <c r="Y168" s="3"/>
      <c r="Z168" s="3"/>
    </row>
    <row r="169" spans="1:26" ht="15.5">
      <c r="A169" s="32"/>
      <c r="B169" s="33"/>
      <c r="C169" s="34"/>
      <c r="D169" s="34"/>
      <c r="E169" s="34"/>
      <c r="F169" s="34"/>
      <c r="G169" s="34"/>
      <c r="H169" s="34"/>
      <c r="I169" s="33"/>
      <c r="J169" s="15"/>
      <c r="K169" s="15"/>
      <c r="L169" s="15"/>
      <c r="M169" s="15"/>
      <c r="N169" s="15"/>
      <c r="O169" s="15"/>
      <c r="P169" s="34"/>
      <c r="Q169" s="25"/>
      <c r="R169" s="27"/>
      <c r="S169" s="3"/>
      <c r="T169" s="3"/>
      <c r="U169" s="3"/>
      <c r="V169" s="3"/>
      <c r="W169" s="3"/>
      <c r="X169" s="3"/>
      <c r="Y169" s="3"/>
      <c r="Z169" s="3"/>
    </row>
    <row r="170" spans="1:26" ht="15.5">
      <c r="A170" s="17"/>
      <c r="B170" s="18"/>
      <c r="C170" s="19"/>
      <c r="D170" s="19"/>
      <c r="E170" s="19"/>
      <c r="F170" s="19"/>
      <c r="G170" s="19"/>
      <c r="H170" s="19"/>
      <c r="I170" s="18"/>
      <c r="J170" s="21"/>
      <c r="K170" s="21"/>
      <c r="L170" s="21"/>
      <c r="M170" s="21"/>
      <c r="N170" s="21"/>
      <c r="O170" s="21"/>
      <c r="P170" s="19"/>
      <c r="Q170" s="19"/>
      <c r="R170" s="22"/>
      <c r="S170" s="3"/>
      <c r="T170" s="3"/>
      <c r="U170" s="3"/>
      <c r="V170" s="3"/>
      <c r="W170" s="3"/>
      <c r="X170" s="3"/>
      <c r="Y170" s="3"/>
      <c r="Z170" s="3"/>
    </row>
    <row r="171" spans="1:26" ht="15.5">
      <c r="A171" s="35"/>
      <c r="B171" s="36"/>
      <c r="C171" s="37"/>
      <c r="D171" s="37"/>
      <c r="E171" s="37"/>
      <c r="F171" s="37"/>
      <c r="G171" s="37"/>
      <c r="H171" s="37"/>
      <c r="I171" s="36"/>
      <c r="J171" s="38"/>
      <c r="K171" s="26"/>
      <c r="L171" s="26"/>
      <c r="M171" s="26"/>
      <c r="N171" s="26"/>
      <c r="O171" s="26"/>
      <c r="P171" s="25"/>
      <c r="Q171" s="25"/>
      <c r="R171" s="27"/>
      <c r="S171" s="3"/>
      <c r="T171" s="3"/>
      <c r="U171" s="3"/>
      <c r="V171" s="3"/>
      <c r="W171" s="3"/>
      <c r="X171" s="3"/>
      <c r="Y171" s="3"/>
      <c r="Z171" s="3"/>
    </row>
    <row r="172" spans="1:26" ht="15.5">
      <c r="A172" s="23"/>
      <c r="B172" s="24"/>
      <c r="C172" s="25"/>
      <c r="D172" s="25"/>
      <c r="E172" s="25"/>
      <c r="F172" s="25"/>
      <c r="G172" s="25"/>
      <c r="H172" s="25"/>
      <c r="I172" s="24"/>
      <c r="J172" s="26"/>
      <c r="K172" s="26"/>
      <c r="L172" s="26"/>
      <c r="M172" s="26"/>
      <c r="N172" s="26"/>
      <c r="O172" s="26"/>
      <c r="P172" s="25"/>
      <c r="Q172" s="25"/>
      <c r="R172" s="27"/>
      <c r="S172" s="3"/>
      <c r="T172" s="3"/>
      <c r="U172" s="3"/>
      <c r="V172" s="3"/>
      <c r="W172" s="3"/>
      <c r="X172" s="3"/>
      <c r="Y172" s="3"/>
      <c r="Z172" s="3"/>
    </row>
    <row r="173" spans="1:26" ht="15.5">
      <c r="A173" s="32"/>
      <c r="B173" s="33"/>
      <c r="C173" s="34"/>
      <c r="D173" s="34"/>
      <c r="E173" s="34"/>
      <c r="F173" s="34"/>
      <c r="G173" s="34"/>
      <c r="H173" s="34"/>
      <c r="I173" s="33"/>
      <c r="J173" s="15"/>
      <c r="K173" s="15"/>
      <c r="L173" s="15"/>
      <c r="M173" s="15"/>
      <c r="N173" s="15"/>
      <c r="O173" s="15"/>
      <c r="P173" s="34"/>
      <c r="Q173" s="34"/>
      <c r="R173" s="39"/>
      <c r="S173" s="3"/>
      <c r="T173" s="3"/>
      <c r="U173" s="3"/>
      <c r="V173" s="3"/>
      <c r="W173" s="3"/>
      <c r="X173" s="3"/>
      <c r="Y173" s="3"/>
      <c r="Z173" s="3"/>
    </row>
    <row r="174" spans="1:26" ht="15.5">
      <c r="A174" s="40" t="s">
        <v>51</v>
      </c>
      <c r="B174" s="41">
        <f>SUM(B161:B173)</f>
        <v>42</v>
      </c>
      <c r="C174" s="42" t="s">
        <v>52</v>
      </c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3" t="s">
        <v>53</v>
      </c>
      <c r="Q174" s="42">
        <f>SUM(Q161:Q173)</f>
        <v>2520</v>
      </c>
      <c r="R174" s="44">
        <f>Q174/12</f>
        <v>210</v>
      </c>
      <c r="S174" s="3"/>
      <c r="T174" s="3"/>
      <c r="U174" s="3"/>
      <c r="V174" s="3"/>
      <c r="W174" s="3"/>
      <c r="X174" s="3"/>
      <c r="Y174" s="3"/>
      <c r="Z174" s="3"/>
    </row>
    <row r="175" spans="1:26" ht="15.5">
      <c r="A175" s="3"/>
      <c r="B175" s="3"/>
      <c r="C175" s="3"/>
      <c r="D175" s="3"/>
      <c r="E175" s="3"/>
      <c r="F175" s="3"/>
      <c r="G175" s="45">
        <f>SUM(G161+G131+G101+G71+G41+G11)</f>
        <v>71122.899999999994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5">
      <c r="A176" s="3" t="s">
        <v>54</v>
      </c>
      <c r="B176" s="3" t="s">
        <v>117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5">
      <c r="A177" s="3" t="s">
        <v>56</v>
      </c>
      <c r="B177" s="3" t="s">
        <v>118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5">
      <c r="A178" s="3" t="s">
        <v>58</v>
      </c>
      <c r="B178" s="3" t="s">
        <v>119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5">
      <c r="A179" s="3" t="s">
        <v>60</v>
      </c>
      <c r="B179" s="3" t="s">
        <v>120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5">
      <c r="A180" s="3" t="s">
        <v>62</v>
      </c>
      <c r="B180" s="3" t="s">
        <v>121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>
      <c r="A183" s="46" t="s">
        <v>122</v>
      </c>
      <c r="B183" s="47" t="s">
        <v>123</v>
      </c>
    </row>
    <row r="184" spans="1:26" ht="15.5">
      <c r="A184" s="46" t="s">
        <v>124</v>
      </c>
      <c r="B184" s="47" t="s">
        <v>125</v>
      </c>
    </row>
    <row r="185" spans="1:26" ht="15.5">
      <c r="A185" s="46" t="s">
        <v>126</v>
      </c>
      <c r="B185" s="47" t="s">
        <v>127</v>
      </c>
    </row>
    <row r="186" spans="1:26" ht="15.5">
      <c r="A186" s="46" t="s">
        <v>128</v>
      </c>
      <c r="B186" s="47" t="s">
        <v>129</v>
      </c>
    </row>
  </sheetData>
  <mergeCells count="18">
    <mergeCell ref="D1:N1"/>
    <mergeCell ref="M5:R5"/>
    <mergeCell ref="D12:D13"/>
    <mergeCell ref="D31:N31"/>
    <mergeCell ref="M35:R35"/>
    <mergeCell ref="D42:D45"/>
    <mergeCell ref="D71:D75"/>
    <mergeCell ref="D102:D105"/>
    <mergeCell ref="D132:D135"/>
    <mergeCell ref="D162:D165"/>
    <mergeCell ref="D91:N91"/>
    <mergeCell ref="M95:R95"/>
    <mergeCell ref="D121:N121"/>
    <mergeCell ref="M125:R125"/>
    <mergeCell ref="D151:N151"/>
    <mergeCell ref="M155:R155"/>
    <mergeCell ref="D61:N61"/>
    <mergeCell ref="M65:R65"/>
  </mergeCells>
  <pageMargins left="0.74803149606299213" right="0.74803149606299213" top="0.98425196850393715" bottom="0.43307086614173229" header="0" footer="0"/>
  <pageSetup paperSize="9" scale="7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PACKINGLIST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Hunab Cuenta</cp:lastModifiedBy>
  <dcterms:created xsi:type="dcterms:W3CDTF">2006-03-24T06:11:42Z</dcterms:created>
  <dcterms:modified xsi:type="dcterms:W3CDTF">2026-08-06T16:28:45Z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8035CA0A1078487D8C05E0A47E6EEFC8</vt:lpwstr>
  </property>
  <property fmtid="{D5CDD505-2E9C-101B-9397-08002B2CF9AE}" pid="3" name="KSOProductBuildVer">
    <vt:lpwstr>2052-11.1.0.12116</vt:lpwstr>
  </property>
</Properties>
</file>