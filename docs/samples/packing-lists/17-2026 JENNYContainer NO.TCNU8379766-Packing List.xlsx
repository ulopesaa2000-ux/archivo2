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1uriel\dowloads oficina\"/>
    </mc:Choice>
  </mc:AlternateContent>
  <xr:revisionPtr revIDLastSave="0" documentId="13_ncr:1_{09004CD8-8B23-4CB2-8322-6621A330F889}" xr6:coauthVersionLast="47" xr6:coauthVersionMax="47" xr10:uidLastSave="{00000000-0000-0000-0000-000000000000}"/>
  <bookViews>
    <workbookView xWindow="-103" yWindow="-103" windowWidth="24892" windowHeight="15943" activeTab="2" xr2:uid="{00000000-000D-0000-FFFF-FFFF00000000}"/>
  </bookViews>
  <sheets>
    <sheet name="06MSD" sheetId="9" r:id="rId1"/>
    <sheet name="07MSD" sheetId="11" r:id="rId2"/>
    <sheet name="11UC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12" l="1"/>
  <c r="Q23" i="12"/>
  <c r="N23" i="12"/>
  <c r="M23" i="12"/>
  <c r="U17" i="12"/>
  <c r="Q17" i="12"/>
  <c r="N17" i="12"/>
  <c r="U11" i="12"/>
  <c r="Q11" i="12"/>
  <c r="N11" i="12"/>
  <c r="U5" i="12"/>
  <c r="Q5" i="12"/>
  <c r="N5" i="12"/>
  <c r="U59" i="11"/>
  <c r="Q59" i="11"/>
  <c r="N59" i="11"/>
  <c r="M59" i="11"/>
  <c r="U53" i="11"/>
  <c r="Q53" i="11"/>
  <c r="N53" i="11"/>
  <c r="U47" i="11"/>
  <c r="Q47" i="11"/>
  <c r="N47" i="11"/>
  <c r="U41" i="11"/>
  <c r="Q41" i="11"/>
  <c r="N41" i="11"/>
  <c r="U35" i="11"/>
  <c r="Q35" i="11"/>
  <c r="N35" i="11"/>
  <c r="U29" i="11"/>
  <c r="Q29" i="11"/>
  <c r="N29" i="11"/>
  <c r="U23" i="11"/>
  <c r="Q23" i="11"/>
  <c r="N23" i="11"/>
  <c r="U17" i="11"/>
  <c r="Q17" i="11"/>
  <c r="N17" i="11"/>
  <c r="U11" i="11"/>
  <c r="Q11" i="11"/>
  <c r="N11" i="11"/>
  <c r="U5" i="11"/>
  <c r="Q5" i="11"/>
  <c r="N5" i="11"/>
  <c r="U59" i="9"/>
  <c r="Q59" i="9"/>
  <c r="N59" i="9"/>
  <c r="M59" i="9"/>
  <c r="U53" i="9"/>
  <c r="Q53" i="9"/>
  <c r="U47" i="9"/>
  <c r="Q47" i="9"/>
  <c r="N47" i="9"/>
  <c r="U41" i="9"/>
  <c r="Q41" i="9"/>
  <c r="N41" i="9"/>
  <c r="U35" i="9"/>
  <c r="Q35" i="9"/>
  <c r="N35" i="9"/>
  <c r="U29" i="9"/>
  <c r="Q29" i="9"/>
  <c r="N29" i="9"/>
  <c r="U23" i="9"/>
  <c r="Q23" i="9"/>
  <c r="N23" i="9"/>
  <c r="U17" i="9"/>
  <c r="Q17" i="9"/>
  <c r="N17" i="9"/>
  <c r="U11" i="9"/>
  <c r="Q11" i="9"/>
  <c r="N11" i="9"/>
  <c r="U5" i="9"/>
  <c r="Q5" i="9"/>
  <c r="N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jennywu</author>
  </authors>
  <commentList>
    <comment ref="D15" authorId="0" shapeId="0" xr:uid="{00000000-0006-0000-0000-000001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JE26/07MSD color
but design in JE26/06MSD，cutting room cutted this color in some cartons</t>
        </r>
      </text>
    </comment>
    <comment ref="D21" authorId="0" shapeId="0" xr:uid="{00000000-0006-0000-0000-000002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JE26/07MSD color
but design in JE26/06MSD，cutting room cutted this color in some cartons</t>
        </r>
      </text>
    </comment>
    <comment ref="D27" authorId="0" shapeId="0" xr:uid="{00000000-0006-0000-0000-000003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JE26/07MSD color
but design in JE26/06MSD，cutting room cutted this color in some cartons</t>
        </r>
      </text>
    </comment>
    <comment ref="D33" authorId="0" shapeId="0" xr:uid="{00000000-0006-0000-0000-000004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JE26/07MSD color
but design in JE26/06MSD，cutting room cutted this color in some cartons</t>
        </r>
      </text>
    </comment>
    <comment ref="D39" authorId="0" shapeId="0" xr:uid="{00000000-0006-0000-0000-000005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JE26/07MSD color
but design in JE26/06MSD，cutting room cutted this color in some cartons</t>
        </r>
      </text>
    </comment>
    <comment ref="D45" authorId="0" shapeId="0" xr:uid="{00000000-0006-0000-0000-000006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JE26/07MSD color
but design in JE26/06MSD，cutting room cutted this color in some cartons</t>
        </r>
      </text>
    </comment>
    <comment ref="D51" authorId="0" shapeId="0" xr:uid="{00000000-0006-0000-0000-000007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JE26/07MSD color
but design in JE26/06MSD，cutting room cutted this color in some cartons</t>
        </r>
      </text>
    </comment>
    <comment ref="D57" authorId="0" shapeId="0" xr:uid="{00000000-0006-0000-0000-000008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JE26/07MSD color
but design in JE26/06MSD，cutting room cutted this color in some cartons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jennywu</author>
  </authors>
  <commentList>
    <comment ref="D9" authorId="0" shapeId="0" xr:uid="{00000000-0006-0000-0100-000001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  <comment ref="D18" authorId="0" shapeId="0" xr:uid="{00000000-0006-0000-0100-000002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</t>
        </r>
      </text>
    </comment>
    <comment ref="D24" authorId="0" shapeId="0" xr:uid="{00000000-0006-0000-0100-000003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</t>
        </r>
      </text>
    </comment>
    <comment ref="D27" authorId="0" shapeId="0" xr:uid="{00000000-0006-0000-0100-000004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  <comment ref="D30" authorId="0" shapeId="0" xr:uid="{00000000-0006-0000-0100-000005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</t>
        </r>
      </text>
    </comment>
    <comment ref="D33" authorId="0" shapeId="0" xr:uid="{00000000-0006-0000-0100-000006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  <comment ref="D34" authorId="0" shapeId="0" xr:uid="{00000000-0006-0000-0100-000007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  <comment ref="D35" authorId="0" shapeId="0" xr:uid="{00000000-0006-0000-0100-000008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</t>
        </r>
      </text>
    </comment>
    <comment ref="D36" authorId="0" shapeId="0" xr:uid="{00000000-0006-0000-0100-000009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  <comment ref="D37" authorId="0" shapeId="0" xr:uid="{00000000-0006-0000-0100-00000A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  <comment ref="D41" authorId="0" shapeId="0" xr:uid="{00000000-0006-0000-0100-00000B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</t>
        </r>
      </text>
    </comment>
    <comment ref="D42" authorId="0" shapeId="0" xr:uid="{00000000-0006-0000-0100-00000C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  <comment ref="D43" authorId="0" shapeId="0" xr:uid="{00000000-0006-0000-0100-00000D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  <comment ref="D47" authorId="0" shapeId="0" xr:uid="{00000000-0006-0000-0100-00000E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</t>
        </r>
      </text>
    </comment>
    <comment ref="D48" authorId="0" shapeId="0" xr:uid="{00000000-0006-0000-0100-00000F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  <comment ref="D49" authorId="0" shapeId="0" xr:uid="{00000000-0006-0000-0100-000010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  <comment ref="D55" authorId="0" shapeId="0" xr:uid="{00000000-0006-0000-0100-000011000000}">
      <text>
        <r>
          <rPr>
            <b/>
            <sz val="9"/>
            <rFont val="宋体"/>
            <charset val="134"/>
          </rPr>
          <t>jennywu:</t>
        </r>
        <r>
          <rPr>
            <sz val="9"/>
            <rFont val="宋体"/>
            <charset val="134"/>
          </rPr>
          <t xml:space="preserve">
JE26/06MSD color
but design in JE26/07MSD
</t>
        </r>
      </text>
    </comment>
  </commentList>
</comments>
</file>

<file path=xl/sharedStrings.xml><?xml version="1.0" encoding="utf-8"?>
<sst xmlns="http://schemas.openxmlformats.org/spreadsheetml/2006/main" count="249" uniqueCount="74">
  <si>
    <t>SHISHI BETERLON GARMENT CO.,LTD</t>
  </si>
  <si>
    <t xml:space="preserve">Women's sports sweatshirt  ORDER-Packing list  </t>
  </si>
  <si>
    <r>
      <t>Container No.TCNU8379766     Seal No.</t>
    </r>
    <r>
      <rPr>
        <b/>
        <sz val="12"/>
        <rFont val="Microsoft YaHei UI"/>
        <charset val="134"/>
      </rPr>
      <t>：</t>
    </r>
    <r>
      <rPr>
        <b/>
        <sz val="12"/>
        <rFont val="Arial"/>
        <charset val="134"/>
      </rPr>
      <t>CNEA28594       BL No.</t>
    </r>
    <r>
      <rPr>
        <b/>
        <sz val="12"/>
        <rFont val="Microsoft YaHei UI"/>
        <charset val="134"/>
      </rPr>
      <t>：</t>
    </r>
    <r>
      <rPr>
        <b/>
        <sz val="12"/>
        <rFont val="Arial"/>
        <charset val="134"/>
      </rPr>
      <t>ONEYXMNGB8695500</t>
    </r>
  </si>
  <si>
    <t>Loading Date: 2026-09-08</t>
  </si>
  <si>
    <t>Style No.</t>
  </si>
  <si>
    <t>Description</t>
  </si>
  <si>
    <t>Composition</t>
  </si>
  <si>
    <t>Color</t>
  </si>
  <si>
    <t>CH</t>
  </si>
  <si>
    <t>M</t>
  </si>
  <si>
    <t>G</t>
  </si>
  <si>
    <t>EG</t>
  </si>
  <si>
    <t>PCs/Ctn</t>
  </si>
  <si>
    <t>Ctn no.</t>
  </si>
  <si>
    <t>Ctns</t>
  </si>
  <si>
    <t xml:space="preserve">Ttl.QTY     </t>
  </si>
  <si>
    <t>N.W</t>
  </si>
  <si>
    <t>G.W</t>
  </si>
  <si>
    <t>Ttl G.W</t>
  </si>
  <si>
    <t>Meas</t>
  </si>
  <si>
    <t xml:space="preserve">CBM(m³)  </t>
  </si>
  <si>
    <t>JE26/06MSD</t>
  </si>
  <si>
    <t>Women's sports sweatshirt</t>
  </si>
  <si>
    <t xml:space="preserve"> 94% POLIESTER,6% ELASTANO</t>
  </si>
  <si>
    <t>BLACK</t>
  </si>
  <si>
    <t>1-104,2-104... ...49-104(here total 49ctns)+52,53,54,57,58,59,61,62,63,64,66,70,75,76,81,82,85,86-104</t>
  </si>
  <si>
    <t xml:space="preserve">PURPURA </t>
  </si>
  <si>
    <t>GREEN</t>
  </si>
  <si>
    <t>CAFÉ</t>
  </si>
  <si>
    <t>LT BEIGE</t>
  </si>
  <si>
    <t>DENIM</t>
  </si>
  <si>
    <t>51,55,56,60,65,69,71,72,73,74,77,78,80,83,84-104</t>
  </si>
  <si>
    <t>BEIGE</t>
  </si>
  <si>
    <t>50,67,79-104</t>
  </si>
  <si>
    <t>68-104</t>
  </si>
  <si>
    <t>87,88,89,90,92,92,93-104</t>
  </si>
  <si>
    <t>94,95,96,97,98,99,100-104</t>
  </si>
  <si>
    <t>101,102-104</t>
  </si>
  <si>
    <t>103-104</t>
  </si>
  <si>
    <t>104-104</t>
  </si>
  <si>
    <t xml:space="preserve">TOTAL  </t>
  </si>
  <si>
    <t>JE26/07MSD</t>
  </si>
  <si>
    <t xml:space="preserve">94% POLIESTER,6% ELASTANO </t>
  </si>
  <si>
    <r>
      <rPr>
        <b/>
        <sz val="12"/>
        <color theme="1"/>
        <rFont val="Arial"/>
        <charset val="134"/>
      </rPr>
      <t>4,5,6,7,9,18,19</t>
    </r>
    <r>
      <rPr>
        <b/>
        <sz val="12"/>
        <color theme="1"/>
        <rFont val="宋体"/>
        <charset val="134"/>
      </rPr>
      <t>,</t>
    </r>
    <r>
      <rPr>
        <b/>
        <sz val="12"/>
        <color theme="1"/>
        <rFont val="Arial"/>
        <charset val="134"/>
      </rPr>
      <t xml:space="preserve">21,23,24,25,26,27,28,29,30,31,32,33,34,36,37,38,39,40,41,42,43,44,45,46,47,48,49,50,51,52,53,54,55,56,57,58,59,63,64,65  </t>
    </r>
  </si>
  <si>
    <t>ROSE</t>
  </si>
  <si>
    <t xml:space="preserve">CAFÉ </t>
  </si>
  <si>
    <t xml:space="preserve">LT BEIGE </t>
  </si>
  <si>
    <t>PETROL</t>
  </si>
  <si>
    <r>
      <rPr>
        <b/>
        <sz val="12"/>
        <color theme="1"/>
        <rFont val="Arial"/>
        <charset val="134"/>
      </rPr>
      <t>1,2,3,8,10,11,12,13,14,15,16,17</t>
    </r>
    <r>
      <rPr>
        <b/>
        <sz val="12"/>
        <color theme="1"/>
        <rFont val="宋体"/>
        <charset val="134"/>
      </rPr>
      <t>,</t>
    </r>
    <r>
      <rPr>
        <b/>
        <sz val="12"/>
        <color theme="1"/>
        <rFont val="Arial"/>
        <charset val="134"/>
      </rPr>
      <t xml:space="preserve">20,22,35,60,61,62  </t>
    </r>
  </si>
  <si>
    <t>BEIGE 04</t>
  </si>
  <si>
    <t xml:space="preserve">66-66  </t>
  </si>
  <si>
    <t>PURPUPA</t>
  </si>
  <si>
    <r>
      <rPr>
        <b/>
        <sz val="12"/>
        <color theme="1"/>
        <rFont val="Arial"/>
        <charset val="134"/>
      </rPr>
      <t xml:space="preserve">1-14,2-14,3-14 </t>
    </r>
    <r>
      <rPr>
        <b/>
        <sz val="12"/>
        <color theme="1"/>
        <rFont val="宋体"/>
        <charset val="134"/>
      </rPr>
      <t xml:space="preserve"> </t>
    </r>
  </si>
  <si>
    <t>4-14,5-14</t>
  </si>
  <si>
    <t>6-14,7-14,8-14</t>
  </si>
  <si>
    <t>9-14,10-14,11-14,12-14</t>
  </si>
  <si>
    <t>13-14</t>
  </si>
  <si>
    <r>
      <rPr>
        <b/>
        <sz val="12"/>
        <rFont val="Arial"/>
        <charset val="134"/>
      </rPr>
      <t xml:space="preserve">LT BEIGE </t>
    </r>
    <r>
      <rPr>
        <b/>
        <sz val="12"/>
        <rFont val="宋体"/>
        <charset val="134"/>
      </rPr>
      <t xml:space="preserve"> </t>
    </r>
  </si>
  <si>
    <t xml:space="preserve">BEIGE </t>
  </si>
  <si>
    <t>14-14</t>
  </si>
  <si>
    <t>PATROL</t>
  </si>
  <si>
    <t xml:space="preserve">UNISEX SWEATSHIRT   ORDER-Packing list  </t>
  </si>
  <si>
    <t>EEG</t>
  </si>
  <si>
    <t>JE26/11UC</t>
  </si>
  <si>
    <t xml:space="preserve">UNISEX SWEATSHIRT </t>
  </si>
  <si>
    <t>1-67,2-67...64-67</t>
  </si>
  <si>
    <t>COFFEE</t>
  </si>
  <si>
    <t>VERDE MILITARY</t>
  </si>
  <si>
    <t xml:space="preserve">PIEDRA </t>
  </si>
  <si>
    <t xml:space="preserve">DK WINE </t>
  </si>
  <si>
    <t>NAVY</t>
  </si>
  <si>
    <t>65-67,66-67</t>
  </si>
  <si>
    <t xml:space="preserve"> -</t>
  </si>
  <si>
    <t>67-67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</si>
</sst>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0.00_ "/>
  </numFmts>
  <fonts count="24">
    <font>
      <sz val="11"/>
      <color theme="1"/>
      <name val="Calibri"/>
      <charset val="134"/>
      <scheme val="minor"/>
    </font>
    <font>
      <sz val="12"/>
      <name val="Calibri"/>
      <charset val="134"/>
    </font>
    <font>
      <sz val="11"/>
      <name val="Arial"/>
      <charset val="134"/>
    </font>
    <font>
      <sz val="12"/>
      <color theme="1"/>
      <name val="Arial"/>
      <charset val="134"/>
    </font>
    <font>
      <sz val="14"/>
      <name val="Arial"/>
      <charset val="134"/>
    </font>
    <font>
      <b/>
      <sz val="11"/>
      <color theme="1"/>
      <name val="Calibri"/>
      <charset val="134"/>
      <scheme val="minor"/>
    </font>
    <font>
      <b/>
      <sz val="26"/>
      <name val="Calibri"/>
      <charset val="134"/>
    </font>
    <font>
      <b/>
      <sz val="22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12"/>
      <name val="宋体"/>
      <charset val="134"/>
    </font>
    <font>
      <b/>
      <sz val="11"/>
      <name val="Arial"/>
      <charset val="134"/>
    </font>
    <font>
      <b/>
      <sz val="12"/>
      <color theme="1"/>
      <name val="Arial"/>
      <charset val="134"/>
    </font>
    <font>
      <b/>
      <sz val="14"/>
      <name val="Arial"/>
      <charset val="134"/>
    </font>
    <font>
      <b/>
      <sz val="14"/>
      <color indexed="10"/>
      <name val="Arial"/>
      <charset val="134"/>
    </font>
    <font>
      <b/>
      <sz val="14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2"/>
      <color indexed="8"/>
      <name val="等线"/>
      <charset val="134"/>
    </font>
    <font>
      <sz val="12"/>
      <name val="宋体"/>
      <charset val="134"/>
    </font>
    <font>
      <sz val="12"/>
      <color theme="1"/>
      <name val="等线"/>
      <charset val="134"/>
    </font>
    <font>
      <b/>
      <sz val="12"/>
      <color theme="1"/>
      <name val="宋体"/>
      <charset val="134"/>
    </font>
    <font>
      <b/>
      <sz val="12"/>
      <name val="Microsoft YaHei UI"/>
      <charset val="134"/>
    </font>
    <font>
      <b/>
      <sz val="9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/>
      <bottom style="medium">
        <color rgb="FF0070C0"/>
      </bottom>
      <diagonal/>
    </border>
    <border>
      <left style="thin">
        <color auto="1"/>
      </left>
      <right style="thin">
        <color auto="1"/>
      </right>
      <top style="medium">
        <color rgb="FF0070C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70C0"/>
      </top>
      <bottom/>
      <diagonal/>
    </border>
    <border>
      <left style="thin">
        <color auto="1"/>
      </left>
      <right style="thin">
        <color auto="1"/>
      </right>
      <top/>
      <bottom style="medium">
        <color theme="1" tint="0.34998626667073579"/>
      </bottom>
      <diagonal/>
    </border>
    <border>
      <left style="thin">
        <color auto="1"/>
      </left>
      <right style="thin">
        <color auto="1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auto="1"/>
      </left>
      <right style="thin">
        <color auto="1"/>
      </right>
      <top style="medium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medium">
        <color rgb="FF0070C0"/>
      </top>
      <bottom style="medium">
        <color theme="1" tint="0.34998626667073579"/>
      </bottom>
      <diagonal/>
    </border>
    <border>
      <left style="thin">
        <color auto="1"/>
      </left>
      <right style="thin">
        <color auto="1"/>
      </right>
      <top style="medium">
        <color theme="1" tint="0.34998626667073579"/>
      </top>
      <bottom style="medium">
        <color rgb="FF0070C0"/>
      </bottom>
      <diagonal/>
    </border>
  </borders>
  <cellStyleXfs count="6">
    <xf numFmtId="0" fontId="0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9" fillId="0" borderId="0"/>
  </cellStyleXfs>
  <cellXfs count="145">
    <xf numFmtId="0" fontId="0" fillId="0" borderId="0" xfId="0"/>
    <xf numFmtId="0" fontId="0" fillId="2" borderId="0" xfId="0" applyFill="1" applyAlignment="1">
      <alignment vertical="center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vertical="center"/>
    </xf>
    <xf numFmtId="0" fontId="8" fillId="2" borderId="0" xfId="4" applyFont="1" applyFill="1"/>
    <xf numFmtId="0" fontId="8" fillId="2" borderId="0" xfId="4" applyFont="1" applyFill="1" applyAlignment="1">
      <alignment horizontal="center"/>
    </xf>
    <xf numFmtId="0" fontId="8" fillId="2" borderId="0" xfId="4" applyFont="1" applyFill="1" applyAlignment="1">
      <alignment horizontal="left"/>
    </xf>
    <xf numFmtId="0" fontId="8" fillId="2" borderId="0" xfId="4" applyFont="1" applyFill="1" applyAlignment="1">
      <alignment wrapText="1"/>
    </xf>
    <xf numFmtId="0" fontId="8" fillId="2" borderId="0" xfId="3" applyFont="1" applyFill="1"/>
    <xf numFmtId="164" fontId="9" fillId="2" borderId="0" xfId="0" applyNumberFormat="1" applyFont="1" applyFill="1"/>
    <xf numFmtId="164" fontId="8" fillId="2" borderId="0" xfId="4" applyNumberFormat="1" applyFont="1" applyFill="1" applyAlignment="1">
      <alignment wrapText="1"/>
    </xf>
    <xf numFmtId="0" fontId="9" fillId="2" borderId="0" xfId="0" applyFont="1" applyFill="1"/>
    <xf numFmtId="165" fontId="8" fillId="2" borderId="0" xfId="3" applyNumberFormat="1" applyFont="1" applyFill="1"/>
    <xf numFmtId="0" fontId="10" fillId="2" borderId="0" xfId="0" applyFont="1" applyFill="1"/>
    <xf numFmtId="0" fontId="11" fillId="2" borderId="1" xfId="4" applyFont="1" applyFill="1" applyBorder="1" applyAlignment="1">
      <alignment horizontal="center" vertical="center" wrapText="1"/>
    </xf>
    <xf numFmtId="0" fontId="11" fillId="3" borderId="1" xfId="4" applyFont="1" applyFill="1" applyBorder="1" applyAlignment="1">
      <alignment horizontal="center" vertical="center" wrapText="1"/>
    </xf>
    <xf numFmtId="164" fontId="11" fillId="2" borderId="1" xfId="4" applyNumberFormat="1" applyFont="1" applyFill="1" applyBorder="1" applyAlignment="1">
      <alignment horizontal="center" vertical="center" wrapText="1"/>
    </xf>
    <xf numFmtId="0" fontId="12" fillId="2" borderId="2" xfId="4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12" fillId="2" borderId="4" xfId="4" applyFont="1" applyFill="1" applyBorder="1" applyAlignment="1">
      <alignment horizontal="center" vertical="center" wrapText="1"/>
    </xf>
    <xf numFmtId="0" fontId="13" fillId="2" borderId="1" xfId="4" applyFont="1" applyFill="1" applyBorder="1" applyAlignment="1">
      <alignment vertical="center"/>
    </xf>
    <xf numFmtId="0" fontId="14" fillId="2" borderId="1" xfId="4" applyFont="1" applyFill="1" applyBorder="1" applyAlignment="1">
      <alignment horizontal="center" vertical="center" wrapText="1"/>
    </xf>
    <xf numFmtId="165" fontId="12" fillId="2" borderId="8" xfId="4" applyNumberFormat="1" applyFont="1" applyFill="1" applyBorder="1" applyAlignment="1">
      <alignment vertical="center" wrapText="1"/>
    </xf>
    <xf numFmtId="165" fontId="12" fillId="2" borderId="9" xfId="4" applyNumberFormat="1" applyFont="1" applyFill="1" applyBorder="1" applyAlignment="1">
      <alignment vertical="center" wrapText="1"/>
    </xf>
    <xf numFmtId="165" fontId="12" fillId="2" borderId="10" xfId="4" applyNumberFormat="1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2" fillId="2" borderId="11" xfId="4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2" fillId="2" borderId="12" xfId="4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2" fillId="2" borderId="14" xfId="4" applyFont="1" applyFill="1" applyBorder="1" applyAlignment="1">
      <alignment horizontal="center" vertical="center" wrapText="1"/>
    </xf>
    <xf numFmtId="0" fontId="12" fillId="0" borderId="14" xfId="4" applyFont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2" fillId="0" borderId="12" xfId="4" applyFont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2" fillId="2" borderId="16" xfId="4" applyFont="1" applyFill="1" applyBorder="1" applyAlignment="1">
      <alignment horizontal="center" vertical="center" wrapText="1"/>
    </xf>
    <xf numFmtId="0" fontId="12" fillId="0" borderId="16" xfId="4" applyFont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2" fillId="2" borderId="17" xfId="4" applyFont="1" applyFill="1" applyBorder="1" applyAlignment="1">
      <alignment horizontal="center" vertical="center" wrapText="1"/>
    </xf>
    <xf numFmtId="0" fontId="12" fillId="0" borderId="17" xfId="4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2" fillId="2" borderId="18" xfId="4" applyFont="1" applyFill="1" applyBorder="1" applyAlignment="1">
      <alignment horizontal="center" vertical="center" wrapText="1"/>
    </xf>
    <xf numFmtId="0" fontId="12" fillId="0" borderId="18" xfId="4" applyFont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12" fillId="2" borderId="19" xfId="4" applyFont="1" applyFill="1" applyBorder="1" applyAlignment="1">
      <alignment horizontal="center" vertical="center" wrapText="1"/>
    </xf>
    <xf numFmtId="0" fontId="12" fillId="0" borderId="19" xfId="4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2" fillId="2" borderId="20" xfId="4" applyFont="1" applyFill="1" applyBorder="1" applyAlignment="1">
      <alignment horizontal="center" vertical="center" wrapText="1"/>
    </xf>
    <xf numFmtId="0" fontId="12" fillId="0" borderId="20" xfId="4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5" fontId="12" fillId="2" borderId="5" xfId="4" applyNumberFormat="1" applyFont="1" applyFill="1" applyBorder="1" applyAlignment="1">
      <alignment vertical="center" wrapText="1"/>
    </xf>
    <xf numFmtId="165" fontId="12" fillId="2" borderId="6" xfId="4" applyNumberFormat="1" applyFont="1" applyFill="1" applyBorder="1" applyAlignment="1">
      <alignment vertical="center" wrapText="1"/>
    </xf>
    <xf numFmtId="165" fontId="12" fillId="2" borderId="7" xfId="4" applyNumberFormat="1" applyFont="1" applyFill="1" applyBorder="1" applyAlignment="1">
      <alignment vertical="center" wrapText="1"/>
    </xf>
    <xf numFmtId="165" fontId="12" fillId="2" borderId="2" xfId="4" applyNumberFormat="1" applyFont="1" applyFill="1" applyBorder="1" applyAlignment="1">
      <alignment horizontal="center" vertical="center" wrapText="1"/>
    </xf>
    <xf numFmtId="165" fontId="12" fillId="2" borderId="3" xfId="4" applyNumberFormat="1" applyFont="1" applyFill="1" applyBorder="1" applyAlignment="1">
      <alignment horizontal="center" vertical="center" wrapText="1"/>
    </xf>
    <xf numFmtId="165" fontId="12" fillId="2" borderId="4" xfId="4" applyNumberFormat="1" applyFont="1" applyFill="1" applyBorder="1" applyAlignment="1">
      <alignment horizontal="center" vertical="center" wrapText="1"/>
    </xf>
    <xf numFmtId="165" fontId="12" fillId="0" borderId="2" xfId="4" applyNumberFormat="1" applyFont="1" applyBorder="1" applyAlignment="1">
      <alignment horizontal="center" vertical="center" wrapText="1"/>
    </xf>
    <xf numFmtId="165" fontId="12" fillId="0" borderId="3" xfId="4" applyNumberFormat="1" applyFont="1" applyBorder="1" applyAlignment="1">
      <alignment horizontal="center" vertical="center" wrapText="1"/>
    </xf>
    <xf numFmtId="164" fontId="12" fillId="2" borderId="2" xfId="4" applyNumberFormat="1" applyFont="1" applyFill="1" applyBorder="1" applyAlignment="1">
      <alignment horizontal="center" vertical="center" wrapText="1"/>
    </xf>
    <xf numFmtId="164" fontId="12" fillId="2" borderId="3" xfId="4" applyNumberFormat="1" applyFont="1" applyFill="1" applyBorder="1" applyAlignment="1">
      <alignment horizontal="center" vertical="center" wrapText="1"/>
    </xf>
    <xf numFmtId="164" fontId="12" fillId="2" borderId="4" xfId="4" applyNumberFormat="1" applyFont="1" applyFill="1" applyBorder="1" applyAlignment="1">
      <alignment horizontal="center" vertical="center" wrapText="1"/>
    </xf>
    <xf numFmtId="0" fontId="12" fillId="2" borderId="2" xfId="4" applyFont="1" applyFill="1" applyBorder="1" applyAlignment="1">
      <alignment horizontal="center" vertical="center" wrapText="1"/>
    </xf>
    <xf numFmtId="0" fontId="12" fillId="2" borderId="3" xfId="4" applyFont="1" applyFill="1" applyBorder="1" applyAlignment="1">
      <alignment horizontal="center" vertical="center" wrapText="1"/>
    </xf>
    <xf numFmtId="0" fontId="12" fillId="2" borderId="4" xfId="4" applyFont="1" applyFill="1" applyBorder="1" applyAlignment="1">
      <alignment horizontal="center" vertical="center" wrapText="1"/>
    </xf>
    <xf numFmtId="0" fontId="12" fillId="0" borderId="2" xfId="4" applyFont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 wrapText="1"/>
    </xf>
    <xf numFmtId="0" fontId="6" fillId="2" borderId="0" xfId="4" applyFont="1" applyFill="1" applyAlignment="1">
      <alignment horizontal="center" vertical="center" wrapText="1"/>
    </xf>
    <xf numFmtId="0" fontId="7" fillId="2" borderId="0" xfId="4" applyFont="1" applyFill="1" applyAlignment="1">
      <alignment horizontal="center" vertical="center" wrapText="1"/>
    </xf>
    <xf numFmtId="0" fontId="11" fillId="2" borderId="1" xfId="4" applyFont="1" applyFill="1" applyBorder="1" applyAlignment="1">
      <alignment horizontal="center" vertical="center" wrapText="1"/>
    </xf>
    <xf numFmtId="0" fontId="13" fillId="2" borderId="5" xfId="4" applyFont="1" applyFill="1" applyBorder="1" applyAlignment="1">
      <alignment horizontal="center" vertical="center"/>
    </xf>
    <xf numFmtId="0" fontId="13" fillId="2" borderId="6" xfId="4" applyFont="1" applyFill="1" applyBorder="1" applyAlignment="1">
      <alignment horizontal="center" vertical="center"/>
    </xf>
    <xf numFmtId="0" fontId="13" fillId="2" borderId="7" xfId="4" applyFont="1" applyFill="1" applyBorder="1" applyAlignment="1">
      <alignment horizontal="center" vertical="center"/>
    </xf>
    <xf numFmtId="164" fontId="14" fillId="2" borderId="5" xfId="4" applyNumberFormat="1" applyFont="1" applyFill="1" applyBorder="1" applyAlignment="1">
      <alignment horizontal="center" vertical="center" wrapText="1"/>
    </xf>
    <xf numFmtId="164" fontId="14" fillId="2" borderId="7" xfId="4" applyNumberFormat="1" applyFont="1" applyFill="1" applyBorder="1" applyAlignment="1">
      <alignment horizontal="center" vertical="center" wrapText="1"/>
    </xf>
    <xf numFmtId="49" fontId="12" fillId="2" borderId="2" xfId="4" applyNumberFormat="1" applyFont="1" applyFill="1" applyBorder="1" applyAlignment="1">
      <alignment horizontal="center" vertical="center" wrapText="1"/>
    </xf>
    <xf numFmtId="49" fontId="12" fillId="2" borderId="3" xfId="4" applyNumberFormat="1" applyFont="1" applyFill="1" applyBorder="1" applyAlignment="1">
      <alignment horizontal="center" vertical="center" wrapText="1"/>
    </xf>
    <xf numFmtId="49" fontId="12" fillId="2" borderId="4" xfId="4" applyNumberFormat="1" applyFont="1" applyFill="1" applyBorder="1" applyAlignment="1">
      <alignment horizontal="center" vertical="center" wrapText="1"/>
    </xf>
    <xf numFmtId="49" fontId="12" fillId="0" borderId="2" xfId="4" applyNumberFormat="1" applyFont="1" applyBorder="1" applyAlignment="1">
      <alignment horizontal="center" vertical="center" wrapText="1"/>
    </xf>
    <xf numFmtId="49" fontId="12" fillId="0" borderId="3" xfId="4" applyNumberFormat="1" applyFont="1" applyBorder="1" applyAlignment="1">
      <alignment horizontal="center" vertical="center" wrapText="1"/>
    </xf>
    <xf numFmtId="165" fontId="12" fillId="2" borderId="13" xfId="4" applyNumberFormat="1" applyFont="1" applyFill="1" applyBorder="1" applyAlignment="1">
      <alignment horizontal="center" vertical="center" wrapText="1"/>
    </xf>
    <xf numFmtId="165" fontId="12" fillId="2" borderId="15" xfId="4" applyNumberFormat="1" applyFont="1" applyFill="1" applyBorder="1" applyAlignment="1">
      <alignment horizontal="center" vertical="center" wrapText="1"/>
    </xf>
    <xf numFmtId="165" fontId="12" fillId="0" borderId="15" xfId="4" applyNumberFormat="1" applyFont="1" applyBorder="1" applyAlignment="1">
      <alignment horizontal="center" vertical="center" wrapText="1"/>
    </xf>
    <xf numFmtId="165" fontId="12" fillId="0" borderId="13" xfId="4" applyNumberFormat="1" applyFont="1" applyBorder="1" applyAlignment="1">
      <alignment horizontal="center" vertical="center" wrapText="1"/>
    </xf>
    <xf numFmtId="165" fontId="12" fillId="0" borderId="16" xfId="4" applyNumberFormat="1" applyFont="1" applyBorder="1" applyAlignment="1">
      <alignment horizontal="center" vertical="center" wrapText="1"/>
    </xf>
    <xf numFmtId="165" fontId="12" fillId="0" borderId="17" xfId="4" applyNumberFormat="1" applyFont="1" applyBorder="1" applyAlignment="1">
      <alignment horizontal="center" vertical="center" wrapText="1"/>
    </xf>
    <xf numFmtId="165" fontId="12" fillId="0" borderId="18" xfId="4" applyNumberFormat="1" applyFont="1" applyBorder="1" applyAlignment="1">
      <alignment horizontal="center" vertical="center" wrapText="1"/>
    </xf>
    <xf numFmtId="165" fontId="12" fillId="0" borderId="19" xfId="4" applyNumberFormat="1" applyFont="1" applyBorder="1" applyAlignment="1">
      <alignment horizontal="center" vertical="center" wrapText="1"/>
    </xf>
    <xf numFmtId="165" fontId="12" fillId="0" borderId="20" xfId="4" applyNumberFormat="1" applyFont="1" applyBorder="1" applyAlignment="1">
      <alignment horizontal="center" vertical="center" wrapText="1"/>
    </xf>
    <xf numFmtId="0" fontId="12" fillId="2" borderId="13" xfId="4" applyFont="1" applyFill="1" applyBorder="1" applyAlignment="1">
      <alignment horizontal="center" vertical="center" wrapText="1"/>
    </xf>
    <xf numFmtId="0" fontId="12" fillId="2" borderId="15" xfId="4" applyFont="1" applyFill="1" applyBorder="1" applyAlignment="1">
      <alignment horizontal="center" vertical="center" wrapText="1"/>
    </xf>
    <xf numFmtId="0" fontId="12" fillId="0" borderId="15" xfId="4" applyFont="1" applyBorder="1" applyAlignment="1">
      <alignment horizontal="center" vertical="center" wrapText="1"/>
    </xf>
    <xf numFmtId="0" fontId="12" fillId="0" borderId="13" xfId="4" applyFont="1" applyBorder="1" applyAlignment="1">
      <alignment horizontal="center" vertical="center" wrapText="1"/>
    </xf>
    <xf numFmtId="0" fontId="12" fillId="0" borderId="16" xfId="4" applyFont="1" applyBorder="1" applyAlignment="1">
      <alignment horizontal="center" vertical="center" wrapText="1"/>
    </xf>
    <xf numFmtId="0" fontId="12" fillId="0" borderId="17" xfId="4" applyFont="1" applyBorder="1" applyAlignment="1">
      <alignment horizontal="center" vertical="center" wrapText="1"/>
    </xf>
    <xf numFmtId="0" fontId="12" fillId="0" borderId="18" xfId="4" applyFont="1" applyBorder="1" applyAlignment="1">
      <alignment horizontal="center" vertical="center" wrapText="1"/>
    </xf>
    <xf numFmtId="0" fontId="12" fillId="0" borderId="19" xfId="4" applyFont="1" applyBorder="1" applyAlignment="1">
      <alignment horizontal="center" vertical="center" wrapText="1"/>
    </xf>
    <xf numFmtId="0" fontId="12" fillId="0" borderId="20" xfId="4" applyFont="1" applyBorder="1" applyAlignment="1">
      <alignment horizontal="center" vertical="center" wrapText="1"/>
    </xf>
    <xf numFmtId="164" fontId="12" fillId="2" borderId="13" xfId="4" applyNumberFormat="1" applyFont="1" applyFill="1" applyBorder="1" applyAlignment="1">
      <alignment horizontal="center" vertical="center" wrapText="1"/>
    </xf>
    <xf numFmtId="164" fontId="12" fillId="2" borderId="15" xfId="4" applyNumberFormat="1" applyFont="1" applyFill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 wrapText="1"/>
    </xf>
    <xf numFmtId="164" fontId="12" fillId="0" borderId="3" xfId="4" applyNumberFormat="1" applyFont="1" applyBorder="1" applyAlignment="1">
      <alignment horizontal="center" vertical="center" wrapText="1"/>
    </xf>
    <xf numFmtId="164" fontId="12" fillId="0" borderId="13" xfId="4" applyNumberFormat="1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center" vertical="center" wrapText="1"/>
    </xf>
    <xf numFmtId="164" fontId="12" fillId="0" borderId="17" xfId="4" applyNumberFormat="1" applyFont="1" applyBorder="1" applyAlignment="1">
      <alignment horizontal="center" vertical="center" wrapText="1"/>
    </xf>
    <xf numFmtId="164" fontId="12" fillId="0" borderId="18" xfId="4" applyNumberFormat="1" applyFont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 wrapText="1"/>
    </xf>
    <xf numFmtId="49" fontId="16" fillId="0" borderId="19" xfId="4" applyNumberFormat="1" applyFont="1" applyBorder="1" applyAlignment="1">
      <alignment horizontal="center" vertical="center" wrapText="1"/>
    </xf>
    <xf numFmtId="49" fontId="16" fillId="0" borderId="17" xfId="4" applyNumberFormat="1" applyFont="1" applyBorder="1" applyAlignment="1">
      <alignment horizontal="center" vertical="center" wrapText="1"/>
    </xf>
    <xf numFmtId="49" fontId="16" fillId="0" borderId="20" xfId="4" applyNumberFormat="1" applyFont="1" applyBorder="1" applyAlignment="1">
      <alignment horizontal="center" vertical="center" wrapText="1"/>
    </xf>
    <xf numFmtId="49" fontId="16" fillId="0" borderId="16" xfId="4" applyNumberFormat="1" applyFont="1" applyBorder="1" applyAlignment="1">
      <alignment horizontal="center" vertical="center" wrapText="1"/>
    </xf>
    <xf numFmtId="49" fontId="16" fillId="2" borderId="2" xfId="4" applyNumberFormat="1" applyFont="1" applyFill="1" applyBorder="1" applyAlignment="1">
      <alignment horizontal="center" vertical="center" wrapText="1"/>
    </xf>
    <xf numFmtId="49" fontId="16" fillId="2" borderId="3" xfId="4" applyNumberFormat="1" applyFont="1" applyFill="1" applyBorder="1" applyAlignment="1">
      <alignment horizontal="center" vertical="center" wrapText="1"/>
    </xf>
    <xf numFmtId="49" fontId="16" fillId="2" borderId="13" xfId="4" applyNumberFormat="1" applyFont="1" applyFill="1" applyBorder="1" applyAlignment="1">
      <alignment horizontal="center" vertical="center" wrapText="1"/>
    </xf>
    <xf numFmtId="49" fontId="16" fillId="2" borderId="15" xfId="4" applyNumberFormat="1" applyFont="1" applyFill="1" applyBorder="1" applyAlignment="1">
      <alignment horizontal="center" vertical="center" wrapText="1"/>
    </xf>
    <xf numFmtId="49" fontId="16" fillId="0" borderId="15" xfId="4" applyNumberFormat="1" applyFont="1" applyBorder="1" applyAlignment="1">
      <alignment horizontal="center" vertical="center" wrapText="1"/>
    </xf>
    <xf numFmtId="49" fontId="16" fillId="0" borderId="3" xfId="4" applyNumberFormat="1" applyFont="1" applyBorder="1" applyAlignment="1">
      <alignment horizontal="center" vertical="center" wrapText="1"/>
    </xf>
    <xf numFmtId="49" fontId="16" fillId="0" borderId="13" xfId="4" applyNumberFormat="1" applyFont="1" applyBorder="1" applyAlignment="1">
      <alignment horizontal="center" vertical="center" wrapText="1"/>
    </xf>
    <xf numFmtId="49" fontId="16" fillId="0" borderId="18" xfId="4" applyNumberFormat="1" applyFont="1" applyBorder="1" applyAlignment="1">
      <alignment horizontal="center" vertical="center" wrapText="1"/>
    </xf>
    <xf numFmtId="165" fontId="12" fillId="2" borderId="1" xfId="4" applyNumberFormat="1" applyFont="1" applyFill="1" applyBorder="1" applyAlignment="1">
      <alignment horizontal="center" vertical="center" wrapText="1"/>
    </xf>
    <xf numFmtId="165" fontId="12" fillId="2" borderId="11" xfId="4" applyNumberFormat="1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12" fillId="2" borderId="11" xfId="4" applyFont="1" applyFill="1" applyBorder="1" applyAlignment="1">
      <alignment horizontal="center" vertical="center" wrapText="1"/>
    </xf>
    <xf numFmtId="164" fontId="12" fillId="2" borderId="1" xfId="4" applyNumberFormat="1" applyFont="1" applyFill="1" applyBorder="1" applyAlignment="1">
      <alignment horizontal="center" vertical="center" wrapText="1"/>
    </xf>
    <xf numFmtId="164" fontId="12" fillId="2" borderId="11" xfId="4" applyNumberFormat="1" applyFont="1" applyFill="1" applyBorder="1" applyAlignment="1">
      <alignment horizontal="center" vertical="center" wrapText="1"/>
    </xf>
    <xf numFmtId="49" fontId="12" fillId="0" borderId="4" xfId="4" applyNumberFormat="1" applyFont="1" applyBorder="1" applyAlignment="1">
      <alignment horizontal="center" vertical="center" wrapText="1"/>
    </xf>
    <xf numFmtId="49" fontId="12" fillId="0" borderId="1" xfId="4" applyNumberFormat="1" applyFont="1" applyBorder="1" applyAlignment="1">
      <alignment horizontal="center" vertical="center" wrapText="1"/>
    </xf>
    <xf numFmtId="49" fontId="12" fillId="0" borderId="11" xfId="4" applyNumberFormat="1" applyFont="1" applyBorder="1" applyAlignment="1">
      <alignment horizontal="center" vertical="center" wrapText="1"/>
    </xf>
    <xf numFmtId="49" fontId="12" fillId="2" borderId="1" xfId="4" applyNumberFormat="1" applyFont="1" applyFill="1" applyBorder="1" applyAlignment="1">
      <alignment horizontal="center" vertical="center" wrapText="1"/>
    </xf>
    <xf numFmtId="49" fontId="12" fillId="2" borderId="11" xfId="4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 3" xfId="5" xr:uid="{00000000-0005-0000-0000-000035000000}"/>
    <cellStyle name="Normal 4" xfId="1" xr:uid="{00000000-0005-0000-0000-000031000000}"/>
    <cellStyle name="常规 5 2" xfId="2" xr:uid="{00000000-0005-0000-0000-000032000000}"/>
    <cellStyle name="常规_K-NK-180010 booking" xfId="3" xr:uid="{00000000-0005-0000-0000-000033000000}"/>
    <cellStyle name="常规_Sheet2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WQQ61"/>
  <sheetViews>
    <sheetView zoomScale="101" zoomScaleNormal="150" workbookViewId="0">
      <selection activeCell="N5" sqref="N5:N10"/>
    </sheetView>
  </sheetViews>
  <sheetFormatPr baseColWidth="10" defaultColWidth="9" defaultRowHeight="14.6"/>
  <cols>
    <col min="1" max="1" width="14.07421875" style="1" customWidth="1"/>
    <col min="2" max="2" width="12" style="1" customWidth="1"/>
    <col min="3" max="3" width="13.07421875" style="1" customWidth="1"/>
    <col min="4" max="4" width="15.53515625" style="6" customWidth="1"/>
    <col min="5" max="10" width="6" style="1" customWidth="1"/>
    <col min="11" max="11" width="9.07421875" style="1" customWidth="1"/>
    <col min="12" max="12" width="17" style="1" customWidth="1"/>
    <col min="13" max="13" width="7" style="1" customWidth="1"/>
    <col min="14" max="14" width="9.3046875" style="1" customWidth="1"/>
    <col min="15" max="16" width="7.07421875" style="7" customWidth="1"/>
    <col min="17" max="17" width="9.3046875" style="1" customWidth="1"/>
    <col min="18" max="20" width="6.69140625" style="1" customWidth="1"/>
    <col min="21" max="21" width="12" style="1" customWidth="1"/>
    <col min="22" max="114" width="8.69140625" style="1"/>
    <col min="115" max="115" width="9" style="1" customWidth="1"/>
    <col min="116" max="116" width="12.69140625" style="1" customWidth="1"/>
    <col min="117" max="117" width="12.07421875" style="1" customWidth="1"/>
    <col min="118" max="118" width="6.4609375" style="1" customWidth="1"/>
    <col min="119" max="119" width="5.4609375" style="1" customWidth="1"/>
    <col min="120" max="120" width="9.3046875" style="1" customWidth="1"/>
    <col min="121" max="125" width="4.765625" style="1" customWidth="1"/>
    <col min="126" max="126" width="6.765625" style="1" customWidth="1"/>
    <col min="127" max="127" width="9.3046875" style="1" customWidth="1"/>
    <col min="128" max="128" width="9.4609375" style="1" customWidth="1"/>
    <col min="129" max="129" width="5.765625" style="1" customWidth="1"/>
    <col min="130" max="130" width="6.23046875" style="1" customWidth="1"/>
    <col min="131" max="131" width="9" style="1" customWidth="1"/>
    <col min="132" max="132" width="13.3046875" style="1" customWidth="1"/>
    <col min="133" max="133" width="9.765625" style="1" customWidth="1"/>
    <col min="134" max="135" width="9" style="1" hidden="1" customWidth="1"/>
    <col min="136" max="370" width="8.69140625" style="1"/>
    <col min="371" max="371" width="9" style="1" customWidth="1"/>
    <col min="372" max="372" width="12.69140625" style="1" customWidth="1"/>
    <col min="373" max="373" width="12.07421875" style="1" customWidth="1"/>
    <col min="374" max="374" width="6.4609375" style="1" customWidth="1"/>
    <col min="375" max="375" width="5.4609375" style="1" customWidth="1"/>
    <col min="376" max="376" width="9.3046875" style="1" customWidth="1"/>
    <col min="377" max="381" width="4.765625" style="1" customWidth="1"/>
    <col min="382" max="382" width="6.765625" style="1" customWidth="1"/>
    <col min="383" max="383" width="9.3046875" style="1" customWidth="1"/>
    <col min="384" max="384" width="9.4609375" style="1" customWidth="1"/>
    <col min="385" max="385" width="5.765625" style="1" customWidth="1"/>
    <col min="386" max="386" width="6.23046875" style="1" customWidth="1"/>
    <col min="387" max="387" width="9" style="1" customWidth="1"/>
    <col min="388" max="388" width="13.3046875" style="1" customWidth="1"/>
    <col min="389" max="389" width="9.765625" style="1" customWidth="1"/>
    <col min="390" max="391" width="9" style="1" hidden="1" customWidth="1"/>
    <col min="392" max="626" width="8.69140625" style="1"/>
    <col min="627" max="627" width="9" style="1" customWidth="1"/>
    <col min="628" max="628" width="12.69140625" style="1" customWidth="1"/>
    <col min="629" max="629" width="12.07421875" style="1" customWidth="1"/>
    <col min="630" max="630" width="6.4609375" style="1" customWidth="1"/>
    <col min="631" max="631" width="5.4609375" style="1" customWidth="1"/>
    <col min="632" max="632" width="9.3046875" style="1" customWidth="1"/>
    <col min="633" max="637" width="4.765625" style="1" customWidth="1"/>
    <col min="638" max="638" width="6.765625" style="1" customWidth="1"/>
    <col min="639" max="639" width="9.3046875" style="1" customWidth="1"/>
    <col min="640" max="640" width="9.4609375" style="1" customWidth="1"/>
    <col min="641" max="641" width="5.765625" style="1" customWidth="1"/>
    <col min="642" max="642" width="6.23046875" style="1" customWidth="1"/>
    <col min="643" max="643" width="9" style="1" customWidth="1"/>
    <col min="644" max="644" width="13.3046875" style="1" customWidth="1"/>
    <col min="645" max="645" width="9.765625" style="1" customWidth="1"/>
    <col min="646" max="647" width="9" style="1" hidden="1" customWidth="1"/>
    <col min="648" max="882" width="8.69140625" style="1"/>
    <col min="883" max="883" width="9" style="1" customWidth="1"/>
    <col min="884" max="884" width="12.69140625" style="1" customWidth="1"/>
    <col min="885" max="885" width="12.07421875" style="1" customWidth="1"/>
    <col min="886" max="886" width="6.4609375" style="1" customWidth="1"/>
    <col min="887" max="887" width="5.4609375" style="1" customWidth="1"/>
    <col min="888" max="888" width="9.3046875" style="1" customWidth="1"/>
    <col min="889" max="893" width="4.765625" style="1" customWidth="1"/>
    <col min="894" max="894" width="6.765625" style="1" customWidth="1"/>
    <col min="895" max="895" width="9.3046875" style="1" customWidth="1"/>
    <col min="896" max="896" width="9.4609375" style="1" customWidth="1"/>
    <col min="897" max="897" width="5.765625" style="1" customWidth="1"/>
    <col min="898" max="898" width="6.23046875" style="1" customWidth="1"/>
    <col min="899" max="899" width="9" style="1" customWidth="1"/>
    <col min="900" max="900" width="13.3046875" style="1" customWidth="1"/>
    <col min="901" max="901" width="9.765625" style="1" customWidth="1"/>
    <col min="902" max="903" width="9" style="1" hidden="1" customWidth="1"/>
    <col min="904" max="1138" width="8.69140625" style="1"/>
    <col min="1139" max="1139" width="9" style="1" customWidth="1"/>
    <col min="1140" max="1140" width="12.69140625" style="1" customWidth="1"/>
    <col min="1141" max="1141" width="12.07421875" style="1" customWidth="1"/>
    <col min="1142" max="1142" width="6.4609375" style="1" customWidth="1"/>
    <col min="1143" max="1143" width="5.4609375" style="1" customWidth="1"/>
    <col min="1144" max="1144" width="9.3046875" style="1" customWidth="1"/>
    <col min="1145" max="1149" width="4.765625" style="1" customWidth="1"/>
    <col min="1150" max="1150" width="6.765625" style="1" customWidth="1"/>
    <col min="1151" max="1151" width="9.3046875" style="1" customWidth="1"/>
    <col min="1152" max="1152" width="9.4609375" style="1" customWidth="1"/>
    <col min="1153" max="1153" width="5.765625" style="1" customWidth="1"/>
    <col min="1154" max="1154" width="6.23046875" style="1" customWidth="1"/>
    <col min="1155" max="1155" width="9" style="1" customWidth="1"/>
    <col min="1156" max="1156" width="13.3046875" style="1" customWidth="1"/>
    <col min="1157" max="1157" width="9.765625" style="1" customWidth="1"/>
    <col min="1158" max="1159" width="9" style="1" hidden="1" customWidth="1"/>
    <col min="1160" max="1394" width="8.69140625" style="1"/>
    <col min="1395" max="1395" width="9" style="1" customWidth="1"/>
    <col min="1396" max="1396" width="12.69140625" style="1" customWidth="1"/>
    <col min="1397" max="1397" width="12.07421875" style="1" customWidth="1"/>
    <col min="1398" max="1398" width="6.4609375" style="1" customWidth="1"/>
    <col min="1399" max="1399" width="5.4609375" style="1" customWidth="1"/>
    <col min="1400" max="1400" width="9.3046875" style="1" customWidth="1"/>
    <col min="1401" max="1405" width="4.765625" style="1" customWidth="1"/>
    <col min="1406" max="1406" width="6.765625" style="1" customWidth="1"/>
    <col min="1407" max="1407" width="9.3046875" style="1" customWidth="1"/>
    <col min="1408" max="1408" width="9.4609375" style="1" customWidth="1"/>
    <col min="1409" max="1409" width="5.765625" style="1" customWidth="1"/>
    <col min="1410" max="1410" width="6.23046875" style="1" customWidth="1"/>
    <col min="1411" max="1411" width="9" style="1" customWidth="1"/>
    <col min="1412" max="1412" width="13.3046875" style="1" customWidth="1"/>
    <col min="1413" max="1413" width="9.765625" style="1" customWidth="1"/>
    <col min="1414" max="1415" width="9" style="1" hidden="1" customWidth="1"/>
    <col min="1416" max="1650" width="8.69140625" style="1"/>
    <col min="1651" max="1651" width="9" style="1" customWidth="1"/>
    <col min="1652" max="1652" width="12.69140625" style="1" customWidth="1"/>
    <col min="1653" max="1653" width="12.07421875" style="1" customWidth="1"/>
    <col min="1654" max="1654" width="6.4609375" style="1" customWidth="1"/>
    <col min="1655" max="1655" width="5.4609375" style="1" customWidth="1"/>
    <col min="1656" max="1656" width="9.3046875" style="1" customWidth="1"/>
    <col min="1657" max="1661" width="4.765625" style="1" customWidth="1"/>
    <col min="1662" max="1662" width="6.765625" style="1" customWidth="1"/>
    <col min="1663" max="1663" width="9.3046875" style="1" customWidth="1"/>
    <col min="1664" max="1664" width="9.4609375" style="1" customWidth="1"/>
    <col min="1665" max="1665" width="5.765625" style="1" customWidth="1"/>
    <col min="1666" max="1666" width="6.23046875" style="1" customWidth="1"/>
    <col min="1667" max="1667" width="9" style="1" customWidth="1"/>
    <col min="1668" max="1668" width="13.3046875" style="1" customWidth="1"/>
    <col min="1669" max="1669" width="9.765625" style="1" customWidth="1"/>
    <col min="1670" max="1671" width="9" style="1" hidden="1" customWidth="1"/>
    <col min="1672" max="1906" width="8.69140625" style="1"/>
    <col min="1907" max="1907" width="9" style="1" customWidth="1"/>
    <col min="1908" max="1908" width="12.69140625" style="1" customWidth="1"/>
    <col min="1909" max="1909" width="12.07421875" style="1" customWidth="1"/>
    <col min="1910" max="1910" width="6.4609375" style="1" customWidth="1"/>
    <col min="1911" max="1911" width="5.4609375" style="1" customWidth="1"/>
    <col min="1912" max="1912" width="9.3046875" style="1" customWidth="1"/>
    <col min="1913" max="1917" width="4.765625" style="1" customWidth="1"/>
    <col min="1918" max="1918" width="6.765625" style="1" customWidth="1"/>
    <col min="1919" max="1919" width="9.3046875" style="1" customWidth="1"/>
    <col min="1920" max="1920" width="9.4609375" style="1" customWidth="1"/>
    <col min="1921" max="1921" width="5.765625" style="1" customWidth="1"/>
    <col min="1922" max="1922" width="6.23046875" style="1" customWidth="1"/>
    <col min="1923" max="1923" width="9" style="1" customWidth="1"/>
    <col min="1924" max="1924" width="13.3046875" style="1" customWidth="1"/>
    <col min="1925" max="1925" width="9.765625" style="1" customWidth="1"/>
    <col min="1926" max="1927" width="9" style="1" hidden="1" customWidth="1"/>
    <col min="1928" max="2162" width="8.69140625" style="1"/>
    <col min="2163" max="2163" width="9" style="1" customWidth="1"/>
    <col min="2164" max="2164" width="12.69140625" style="1" customWidth="1"/>
    <col min="2165" max="2165" width="12.07421875" style="1" customWidth="1"/>
    <col min="2166" max="2166" width="6.4609375" style="1" customWidth="1"/>
    <col min="2167" max="2167" width="5.4609375" style="1" customWidth="1"/>
    <col min="2168" max="2168" width="9.3046875" style="1" customWidth="1"/>
    <col min="2169" max="2173" width="4.765625" style="1" customWidth="1"/>
    <col min="2174" max="2174" width="6.765625" style="1" customWidth="1"/>
    <col min="2175" max="2175" width="9.3046875" style="1" customWidth="1"/>
    <col min="2176" max="2176" width="9.4609375" style="1" customWidth="1"/>
    <col min="2177" max="2177" width="5.765625" style="1" customWidth="1"/>
    <col min="2178" max="2178" width="6.23046875" style="1" customWidth="1"/>
    <col min="2179" max="2179" width="9" style="1" customWidth="1"/>
    <col min="2180" max="2180" width="13.3046875" style="1" customWidth="1"/>
    <col min="2181" max="2181" width="9.765625" style="1" customWidth="1"/>
    <col min="2182" max="2183" width="9" style="1" hidden="1" customWidth="1"/>
    <col min="2184" max="2418" width="8.69140625" style="1"/>
    <col min="2419" max="2419" width="9" style="1" customWidth="1"/>
    <col min="2420" max="2420" width="12.69140625" style="1" customWidth="1"/>
    <col min="2421" max="2421" width="12.07421875" style="1" customWidth="1"/>
    <col min="2422" max="2422" width="6.4609375" style="1" customWidth="1"/>
    <col min="2423" max="2423" width="5.4609375" style="1" customWidth="1"/>
    <col min="2424" max="2424" width="9.3046875" style="1" customWidth="1"/>
    <col min="2425" max="2429" width="4.765625" style="1" customWidth="1"/>
    <col min="2430" max="2430" width="6.765625" style="1" customWidth="1"/>
    <col min="2431" max="2431" width="9.3046875" style="1" customWidth="1"/>
    <col min="2432" max="2432" width="9.4609375" style="1" customWidth="1"/>
    <col min="2433" max="2433" width="5.765625" style="1" customWidth="1"/>
    <col min="2434" max="2434" width="6.23046875" style="1" customWidth="1"/>
    <col min="2435" max="2435" width="9" style="1" customWidth="1"/>
    <col min="2436" max="2436" width="13.3046875" style="1" customWidth="1"/>
    <col min="2437" max="2437" width="9.765625" style="1" customWidth="1"/>
    <col min="2438" max="2439" width="9" style="1" hidden="1" customWidth="1"/>
    <col min="2440" max="2674" width="8.69140625" style="1"/>
    <col min="2675" max="2675" width="9" style="1" customWidth="1"/>
    <col min="2676" max="2676" width="12.69140625" style="1" customWidth="1"/>
    <col min="2677" max="2677" width="12.07421875" style="1" customWidth="1"/>
    <col min="2678" max="2678" width="6.4609375" style="1" customWidth="1"/>
    <col min="2679" max="2679" width="5.4609375" style="1" customWidth="1"/>
    <col min="2680" max="2680" width="9.3046875" style="1" customWidth="1"/>
    <col min="2681" max="2685" width="4.765625" style="1" customWidth="1"/>
    <col min="2686" max="2686" width="6.765625" style="1" customWidth="1"/>
    <col min="2687" max="2687" width="9.3046875" style="1" customWidth="1"/>
    <col min="2688" max="2688" width="9.4609375" style="1" customWidth="1"/>
    <col min="2689" max="2689" width="5.765625" style="1" customWidth="1"/>
    <col min="2690" max="2690" width="6.23046875" style="1" customWidth="1"/>
    <col min="2691" max="2691" width="9" style="1" customWidth="1"/>
    <col min="2692" max="2692" width="13.3046875" style="1" customWidth="1"/>
    <col min="2693" max="2693" width="9.765625" style="1" customWidth="1"/>
    <col min="2694" max="2695" width="9" style="1" hidden="1" customWidth="1"/>
    <col min="2696" max="2930" width="8.69140625" style="1"/>
    <col min="2931" max="2931" width="9" style="1" customWidth="1"/>
    <col min="2932" max="2932" width="12.69140625" style="1" customWidth="1"/>
    <col min="2933" max="2933" width="12.07421875" style="1" customWidth="1"/>
    <col min="2934" max="2934" width="6.4609375" style="1" customWidth="1"/>
    <col min="2935" max="2935" width="5.4609375" style="1" customWidth="1"/>
    <col min="2936" max="2936" width="9.3046875" style="1" customWidth="1"/>
    <col min="2937" max="2941" width="4.765625" style="1" customWidth="1"/>
    <col min="2942" max="2942" width="6.765625" style="1" customWidth="1"/>
    <col min="2943" max="2943" width="9.3046875" style="1" customWidth="1"/>
    <col min="2944" max="2944" width="9.4609375" style="1" customWidth="1"/>
    <col min="2945" max="2945" width="5.765625" style="1" customWidth="1"/>
    <col min="2946" max="2946" width="6.23046875" style="1" customWidth="1"/>
    <col min="2947" max="2947" width="9" style="1" customWidth="1"/>
    <col min="2948" max="2948" width="13.3046875" style="1" customWidth="1"/>
    <col min="2949" max="2949" width="9.765625" style="1" customWidth="1"/>
    <col min="2950" max="2951" width="9" style="1" hidden="1" customWidth="1"/>
    <col min="2952" max="3186" width="8.69140625" style="1"/>
    <col min="3187" max="3187" width="9" style="1" customWidth="1"/>
    <col min="3188" max="3188" width="12.69140625" style="1" customWidth="1"/>
    <col min="3189" max="3189" width="12.07421875" style="1" customWidth="1"/>
    <col min="3190" max="3190" width="6.4609375" style="1" customWidth="1"/>
    <col min="3191" max="3191" width="5.4609375" style="1" customWidth="1"/>
    <col min="3192" max="3192" width="9.3046875" style="1" customWidth="1"/>
    <col min="3193" max="3197" width="4.765625" style="1" customWidth="1"/>
    <col min="3198" max="3198" width="6.765625" style="1" customWidth="1"/>
    <col min="3199" max="3199" width="9.3046875" style="1" customWidth="1"/>
    <col min="3200" max="3200" width="9.4609375" style="1" customWidth="1"/>
    <col min="3201" max="3201" width="5.765625" style="1" customWidth="1"/>
    <col min="3202" max="3202" width="6.23046875" style="1" customWidth="1"/>
    <col min="3203" max="3203" width="9" style="1" customWidth="1"/>
    <col min="3204" max="3204" width="13.3046875" style="1" customWidth="1"/>
    <col min="3205" max="3205" width="9.765625" style="1" customWidth="1"/>
    <col min="3206" max="3207" width="9" style="1" hidden="1" customWidth="1"/>
    <col min="3208" max="3442" width="8.69140625" style="1"/>
    <col min="3443" max="3443" width="9" style="1" customWidth="1"/>
    <col min="3444" max="3444" width="12.69140625" style="1" customWidth="1"/>
    <col min="3445" max="3445" width="12.07421875" style="1" customWidth="1"/>
    <col min="3446" max="3446" width="6.4609375" style="1" customWidth="1"/>
    <col min="3447" max="3447" width="5.4609375" style="1" customWidth="1"/>
    <col min="3448" max="3448" width="9.3046875" style="1" customWidth="1"/>
    <col min="3449" max="3453" width="4.765625" style="1" customWidth="1"/>
    <col min="3454" max="3454" width="6.765625" style="1" customWidth="1"/>
    <col min="3455" max="3455" width="9.3046875" style="1" customWidth="1"/>
    <col min="3456" max="3456" width="9.4609375" style="1" customWidth="1"/>
    <col min="3457" max="3457" width="5.765625" style="1" customWidth="1"/>
    <col min="3458" max="3458" width="6.23046875" style="1" customWidth="1"/>
    <col min="3459" max="3459" width="9" style="1" customWidth="1"/>
    <col min="3460" max="3460" width="13.3046875" style="1" customWidth="1"/>
    <col min="3461" max="3461" width="9.765625" style="1" customWidth="1"/>
    <col min="3462" max="3463" width="9" style="1" hidden="1" customWidth="1"/>
    <col min="3464" max="3698" width="8.69140625" style="1"/>
    <col min="3699" max="3699" width="9" style="1" customWidth="1"/>
    <col min="3700" max="3700" width="12.69140625" style="1" customWidth="1"/>
    <col min="3701" max="3701" width="12.07421875" style="1" customWidth="1"/>
    <col min="3702" max="3702" width="6.4609375" style="1" customWidth="1"/>
    <col min="3703" max="3703" width="5.4609375" style="1" customWidth="1"/>
    <col min="3704" max="3704" width="9.3046875" style="1" customWidth="1"/>
    <col min="3705" max="3709" width="4.765625" style="1" customWidth="1"/>
    <col min="3710" max="3710" width="6.765625" style="1" customWidth="1"/>
    <col min="3711" max="3711" width="9.3046875" style="1" customWidth="1"/>
    <col min="3712" max="3712" width="9.4609375" style="1" customWidth="1"/>
    <col min="3713" max="3713" width="5.765625" style="1" customWidth="1"/>
    <col min="3714" max="3714" width="6.23046875" style="1" customWidth="1"/>
    <col min="3715" max="3715" width="9" style="1" customWidth="1"/>
    <col min="3716" max="3716" width="13.3046875" style="1" customWidth="1"/>
    <col min="3717" max="3717" width="9.765625" style="1" customWidth="1"/>
    <col min="3718" max="3719" width="9" style="1" hidden="1" customWidth="1"/>
    <col min="3720" max="3954" width="8.69140625" style="1"/>
    <col min="3955" max="3955" width="9" style="1" customWidth="1"/>
    <col min="3956" max="3956" width="12.69140625" style="1" customWidth="1"/>
    <col min="3957" max="3957" width="12.07421875" style="1" customWidth="1"/>
    <col min="3958" max="3958" width="6.4609375" style="1" customWidth="1"/>
    <col min="3959" max="3959" width="5.4609375" style="1" customWidth="1"/>
    <col min="3960" max="3960" width="9.3046875" style="1" customWidth="1"/>
    <col min="3961" max="3965" width="4.765625" style="1" customWidth="1"/>
    <col min="3966" max="3966" width="6.765625" style="1" customWidth="1"/>
    <col min="3967" max="3967" width="9.3046875" style="1" customWidth="1"/>
    <col min="3968" max="3968" width="9.4609375" style="1" customWidth="1"/>
    <col min="3969" max="3969" width="5.765625" style="1" customWidth="1"/>
    <col min="3970" max="3970" width="6.23046875" style="1" customWidth="1"/>
    <col min="3971" max="3971" width="9" style="1" customWidth="1"/>
    <col min="3972" max="3972" width="13.3046875" style="1" customWidth="1"/>
    <col min="3973" max="3973" width="9.765625" style="1" customWidth="1"/>
    <col min="3974" max="3975" width="9" style="1" hidden="1" customWidth="1"/>
    <col min="3976" max="4210" width="8.69140625" style="1"/>
    <col min="4211" max="4211" width="9" style="1" customWidth="1"/>
    <col min="4212" max="4212" width="12.69140625" style="1" customWidth="1"/>
    <col min="4213" max="4213" width="12.07421875" style="1" customWidth="1"/>
    <col min="4214" max="4214" width="6.4609375" style="1" customWidth="1"/>
    <col min="4215" max="4215" width="5.4609375" style="1" customWidth="1"/>
    <col min="4216" max="4216" width="9.3046875" style="1" customWidth="1"/>
    <col min="4217" max="4221" width="4.765625" style="1" customWidth="1"/>
    <col min="4222" max="4222" width="6.765625" style="1" customWidth="1"/>
    <col min="4223" max="4223" width="9.3046875" style="1" customWidth="1"/>
    <col min="4224" max="4224" width="9.4609375" style="1" customWidth="1"/>
    <col min="4225" max="4225" width="5.765625" style="1" customWidth="1"/>
    <col min="4226" max="4226" width="6.23046875" style="1" customWidth="1"/>
    <col min="4227" max="4227" width="9" style="1" customWidth="1"/>
    <col min="4228" max="4228" width="13.3046875" style="1" customWidth="1"/>
    <col min="4229" max="4229" width="9.765625" style="1" customWidth="1"/>
    <col min="4230" max="4231" width="9" style="1" hidden="1" customWidth="1"/>
    <col min="4232" max="4466" width="8.69140625" style="1"/>
    <col min="4467" max="4467" width="9" style="1" customWidth="1"/>
    <col min="4468" max="4468" width="12.69140625" style="1" customWidth="1"/>
    <col min="4469" max="4469" width="12.07421875" style="1" customWidth="1"/>
    <col min="4470" max="4470" width="6.4609375" style="1" customWidth="1"/>
    <col min="4471" max="4471" width="5.4609375" style="1" customWidth="1"/>
    <col min="4472" max="4472" width="9.3046875" style="1" customWidth="1"/>
    <col min="4473" max="4477" width="4.765625" style="1" customWidth="1"/>
    <col min="4478" max="4478" width="6.765625" style="1" customWidth="1"/>
    <col min="4479" max="4479" width="9.3046875" style="1" customWidth="1"/>
    <col min="4480" max="4480" width="9.4609375" style="1" customWidth="1"/>
    <col min="4481" max="4481" width="5.765625" style="1" customWidth="1"/>
    <col min="4482" max="4482" width="6.23046875" style="1" customWidth="1"/>
    <col min="4483" max="4483" width="9" style="1" customWidth="1"/>
    <col min="4484" max="4484" width="13.3046875" style="1" customWidth="1"/>
    <col min="4485" max="4485" width="9.765625" style="1" customWidth="1"/>
    <col min="4486" max="4487" width="9" style="1" hidden="1" customWidth="1"/>
    <col min="4488" max="4722" width="8.69140625" style="1"/>
    <col min="4723" max="4723" width="9" style="1" customWidth="1"/>
    <col min="4724" max="4724" width="12.69140625" style="1" customWidth="1"/>
    <col min="4725" max="4725" width="12.07421875" style="1" customWidth="1"/>
    <col min="4726" max="4726" width="6.4609375" style="1" customWidth="1"/>
    <col min="4727" max="4727" width="5.4609375" style="1" customWidth="1"/>
    <col min="4728" max="4728" width="9.3046875" style="1" customWidth="1"/>
    <col min="4729" max="4733" width="4.765625" style="1" customWidth="1"/>
    <col min="4734" max="4734" width="6.765625" style="1" customWidth="1"/>
    <col min="4735" max="4735" width="9.3046875" style="1" customWidth="1"/>
    <col min="4736" max="4736" width="9.4609375" style="1" customWidth="1"/>
    <col min="4737" max="4737" width="5.765625" style="1" customWidth="1"/>
    <col min="4738" max="4738" width="6.23046875" style="1" customWidth="1"/>
    <col min="4739" max="4739" width="9" style="1" customWidth="1"/>
    <col min="4740" max="4740" width="13.3046875" style="1" customWidth="1"/>
    <col min="4741" max="4741" width="9.765625" style="1" customWidth="1"/>
    <col min="4742" max="4743" width="9" style="1" hidden="1" customWidth="1"/>
    <col min="4744" max="4978" width="8.69140625" style="1"/>
    <col min="4979" max="4979" width="9" style="1" customWidth="1"/>
    <col min="4980" max="4980" width="12.69140625" style="1" customWidth="1"/>
    <col min="4981" max="4981" width="12.07421875" style="1" customWidth="1"/>
    <col min="4982" max="4982" width="6.4609375" style="1" customWidth="1"/>
    <col min="4983" max="4983" width="5.4609375" style="1" customWidth="1"/>
    <col min="4984" max="4984" width="9.3046875" style="1" customWidth="1"/>
    <col min="4985" max="4989" width="4.765625" style="1" customWidth="1"/>
    <col min="4990" max="4990" width="6.765625" style="1" customWidth="1"/>
    <col min="4991" max="4991" width="9.3046875" style="1" customWidth="1"/>
    <col min="4992" max="4992" width="9.4609375" style="1" customWidth="1"/>
    <col min="4993" max="4993" width="5.765625" style="1" customWidth="1"/>
    <col min="4994" max="4994" width="6.23046875" style="1" customWidth="1"/>
    <col min="4995" max="4995" width="9" style="1" customWidth="1"/>
    <col min="4996" max="4996" width="13.3046875" style="1" customWidth="1"/>
    <col min="4997" max="4997" width="9.765625" style="1" customWidth="1"/>
    <col min="4998" max="4999" width="9" style="1" hidden="1" customWidth="1"/>
    <col min="5000" max="5234" width="8.69140625" style="1"/>
    <col min="5235" max="5235" width="9" style="1" customWidth="1"/>
    <col min="5236" max="5236" width="12.69140625" style="1" customWidth="1"/>
    <col min="5237" max="5237" width="12.07421875" style="1" customWidth="1"/>
    <col min="5238" max="5238" width="6.4609375" style="1" customWidth="1"/>
    <col min="5239" max="5239" width="5.4609375" style="1" customWidth="1"/>
    <col min="5240" max="5240" width="9.3046875" style="1" customWidth="1"/>
    <col min="5241" max="5245" width="4.765625" style="1" customWidth="1"/>
    <col min="5246" max="5246" width="6.765625" style="1" customWidth="1"/>
    <col min="5247" max="5247" width="9.3046875" style="1" customWidth="1"/>
    <col min="5248" max="5248" width="9.4609375" style="1" customWidth="1"/>
    <col min="5249" max="5249" width="5.765625" style="1" customWidth="1"/>
    <col min="5250" max="5250" width="6.23046875" style="1" customWidth="1"/>
    <col min="5251" max="5251" width="9" style="1" customWidth="1"/>
    <col min="5252" max="5252" width="13.3046875" style="1" customWidth="1"/>
    <col min="5253" max="5253" width="9.765625" style="1" customWidth="1"/>
    <col min="5254" max="5255" width="9" style="1" hidden="1" customWidth="1"/>
    <col min="5256" max="5490" width="8.69140625" style="1"/>
    <col min="5491" max="5491" width="9" style="1" customWidth="1"/>
    <col min="5492" max="5492" width="12.69140625" style="1" customWidth="1"/>
    <col min="5493" max="5493" width="12.07421875" style="1" customWidth="1"/>
    <col min="5494" max="5494" width="6.4609375" style="1" customWidth="1"/>
    <col min="5495" max="5495" width="5.4609375" style="1" customWidth="1"/>
    <col min="5496" max="5496" width="9.3046875" style="1" customWidth="1"/>
    <col min="5497" max="5501" width="4.765625" style="1" customWidth="1"/>
    <col min="5502" max="5502" width="6.765625" style="1" customWidth="1"/>
    <col min="5503" max="5503" width="9.3046875" style="1" customWidth="1"/>
    <col min="5504" max="5504" width="9.4609375" style="1" customWidth="1"/>
    <col min="5505" max="5505" width="5.765625" style="1" customWidth="1"/>
    <col min="5506" max="5506" width="6.23046875" style="1" customWidth="1"/>
    <col min="5507" max="5507" width="9" style="1" customWidth="1"/>
    <col min="5508" max="5508" width="13.3046875" style="1" customWidth="1"/>
    <col min="5509" max="5509" width="9.765625" style="1" customWidth="1"/>
    <col min="5510" max="5511" width="9" style="1" hidden="1" customWidth="1"/>
    <col min="5512" max="5746" width="8.69140625" style="1"/>
    <col min="5747" max="5747" width="9" style="1" customWidth="1"/>
    <col min="5748" max="5748" width="12.69140625" style="1" customWidth="1"/>
    <col min="5749" max="5749" width="12.07421875" style="1" customWidth="1"/>
    <col min="5750" max="5750" width="6.4609375" style="1" customWidth="1"/>
    <col min="5751" max="5751" width="5.4609375" style="1" customWidth="1"/>
    <col min="5752" max="5752" width="9.3046875" style="1" customWidth="1"/>
    <col min="5753" max="5757" width="4.765625" style="1" customWidth="1"/>
    <col min="5758" max="5758" width="6.765625" style="1" customWidth="1"/>
    <col min="5759" max="5759" width="9.3046875" style="1" customWidth="1"/>
    <col min="5760" max="5760" width="9.4609375" style="1" customWidth="1"/>
    <col min="5761" max="5761" width="5.765625" style="1" customWidth="1"/>
    <col min="5762" max="5762" width="6.23046875" style="1" customWidth="1"/>
    <col min="5763" max="5763" width="9" style="1" customWidth="1"/>
    <col min="5764" max="5764" width="13.3046875" style="1" customWidth="1"/>
    <col min="5765" max="5765" width="9.765625" style="1" customWidth="1"/>
    <col min="5766" max="5767" width="9" style="1" hidden="1" customWidth="1"/>
    <col min="5768" max="6002" width="8.69140625" style="1"/>
    <col min="6003" max="6003" width="9" style="1" customWidth="1"/>
    <col min="6004" max="6004" width="12.69140625" style="1" customWidth="1"/>
    <col min="6005" max="6005" width="12.07421875" style="1" customWidth="1"/>
    <col min="6006" max="6006" width="6.4609375" style="1" customWidth="1"/>
    <col min="6007" max="6007" width="5.4609375" style="1" customWidth="1"/>
    <col min="6008" max="6008" width="9.3046875" style="1" customWidth="1"/>
    <col min="6009" max="6013" width="4.765625" style="1" customWidth="1"/>
    <col min="6014" max="6014" width="6.765625" style="1" customWidth="1"/>
    <col min="6015" max="6015" width="9.3046875" style="1" customWidth="1"/>
    <col min="6016" max="6016" width="9.4609375" style="1" customWidth="1"/>
    <col min="6017" max="6017" width="5.765625" style="1" customWidth="1"/>
    <col min="6018" max="6018" width="6.23046875" style="1" customWidth="1"/>
    <col min="6019" max="6019" width="9" style="1" customWidth="1"/>
    <col min="6020" max="6020" width="13.3046875" style="1" customWidth="1"/>
    <col min="6021" max="6021" width="9.765625" style="1" customWidth="1"/>
    <col min="6022" max="6023" width="9" style="1" hidden="1" customWidth="1"/>
    <col min="6024" max="6258" width="8.69140625" style="1"/>
    <col min="6259" max="6259" width="9" style="1" customWidth="1"/>
    <col min="6260" max="6260" width="12.69140625" style="1" customWidth="1"/>
    <col min="6261" max="6261" width="12.07421875" style="1" customWidth="1"/>
    <col min="6262" max="6262" width="6.4609375" style="1" customWidth="1"/>
    <col min="6263" max="6263" width="5.4609375" style="1" customWidth="1"/>
    <col min="6264" max="6264" width="9.3046875" style="1" customWidth="1"/>
    <col min="6265" max="6269" width="4.765625" style="1" customWidth="1"/>
    <col min="6270" max="6270" width="6.765625" style="1" customWidth="1"/>
    <col min="6271" max="6271" width="9.3046875" style="1" customWidth="1"/>
    <col min="6272" max="6272" width="9.4609375" style="1" customWidth="1"/>
    <col min="6273" max="6273" width="5.765625" style="1" customWidth="1"/>
    <col min="6274" max="6274" width="6.23046875" style="1" customWidth="1"/>
    <col min="6275" max="6275" width="9" style="1" customWidth="1"/>
    <col min="6276" max="6276" width="13.3046875" style="1" customWidth="1"/>
    <col min="6277" max="6277" width="9.765625" style="1" customWidth="1"/>
    <col min="6278" max="6279" width="9" style="1" hidden="1" customWidth="1"/>
    <col min="6280" max="6514" width="8.69140625" style="1"/>
    <col min="6515" max="6515" width="9" style="1" customWidth="1"/>
    <col min="6516" max="6516" width="12.69140625" style="1" customWidth="1"/>
    <col min="6517" max="6517" width="12.07421875" style="1" customWidth="1"/>
    <col min="6518" max="6518" width="6.4609375" style="1" customWidth="1"/>
    <col min="6519" max="6519" width="5.4609375" style="1" customWidth="1"/>
    <col min="6520" max="6520" width="9.3046875" style="1" customWidth="1"/>
    <col min="6521" max="6525" width="4.765625" style="1" customWidth="1"/>
    <col min="6526" max="6526" width="6.765625" style="1" customWidth="1"/>
    <col min="6527" max="6527" width="9.3046875" style="1" customWidth="1"/>
    <col min="6528" max="6528" width="9.4609375" style="1" customWidth="1"/>
    <col min="6529" max="6529" width="5.765625" style="1" customWidth="1"/>
    <col min="6530" max="6530" width="6.23046875" style="1" customWidth="1"/>
    <col min="6531" max="6531" width="9" style="1" customWidth="1"/>
    <col min="6532" max="6532" width="13.3046875" style="1" customWidth="1"/>
    <col min="6533" max="6533" width="9.765625" style="1" customWidth="1"/>
    <col min="6534" max="6535" width="9" style="1" hidden="1" customWidth="1"/>
    <col min="6536" max="6770" width="8.69140625" style="1"/>
    <col min="6771" max="6771" width="9" style="1" customWidth="1"/>
    <col min="6772" max="6772" width="12.69140625" style="1" customWidth="1"/>
    <col min="6773" max="6773" width="12.07421875" style="1" customWidth="1"/>
    <col min="6774" max="6774" width="6.4609375" style="1" customWidth="1"/>
    <col min="6775" max="6775" width="5.4609375" style="1" customWidth="1"/>
    <col min="6776" max="6776" width="9.3046875" style="1" customWidth="1"/>
    <col min="6777" max="6781" width="4.765625" style="1" customWidth="1"/>
    <col min="6782" max="6782" width="6.765625" style="1" customWidth="1"/>
    <col min="6783" max="6783" width="9.3046875" style="1" customWidth="1"/>
    <col min="6784" max="6784" width="9.4609375" style="1" customWidth="1"/>
    <col min="6785" max="6785" width="5.765625" style="1" customWidth="1"/>
    <col min="6786" max="6786" width="6.23046875" style="1" customWidth="1"/>
    <col min="6787" max="6787" width="9" style="1" customWidth="1"/>
    <col min="6788" max="6788" width="13.3046875" style="1" customWidth="1"/>
    <col min="6789" max="6789" width="9.765625" style="1" customWidth="1"/>
    <col min="6790" max="6791" width="9" style="1" hidden="1" customWidth="1"/>
    <col min="6792" max="7026" width="8.69140625" style="1"/>
    <col min="7027" max="7027" width="9" style="1" customWidth="1"/>
    <col min="7028" max="7028" width="12.69140625" style="1" customWidth="1"/>
    <col min="7029" max="7029" width="12.07421875" style="1" customWidth="1"/>
    <col min="7030" max="7030" width="6.4609375" style="1" customWidth="1"/>
    <col min="7031" max="7031" width="5.4609375" style="1" customWidth="1"/>
    <col min="7032" max="7032" width="9.3046875" style="1" customWidth="1"/>
    <col min="7033" max="7037" width="4.765625" style="1" customWidth="1"/>
    <col min="7038" max="7038" width="6.765625" style="1" customWidth="1"/>
    <col min="7039" max="7039" width="9.3046875" style="1" customWidth="1"/>
    <col min="7040" max="7040" width="9.4609375" style="1" customWidth="1"/>
    <col min="7041" max="7041" width="5.765625" style="1" customWidth="1"/>
    <col min="7042" max="7042" width="6.23046875" style="1" customWidth="1"/>
    <col min="7043" max="7043" width="9" style="1" customWidth="1"/>
    <col min="7044" max="7044" width="13.3046875" style="1" customWidth="1"/>
    <col min="7045" max="7045" width="9.765625" style="1" customWidth="1"/>
    <col min="7046" max="7047" width="9" style="1" hidden="1" customWidth="1"/>
    <col min="7048" max="7282" width="8.69140625" style="1"/>
    <col min="7283" max="7283" width="9" style="1" customWidth="1"/>
    <col min="7284" max="7284" width="12.69140625" style="1" customWidth="1"/>
    <col min="7285" max="7285" width="12.07421875" style="1" customWidth="1"/>
    <col min="7286" max="7286" width="6.4609375" style="1" customWidth="1"/>
    <col min="7287" max="7287" width="5.4609375" style="1" customWidth="1"/>
    <col min="7288" max="7288" width="9.3046875" style="1" customWidth="1"/>
    <col min="7289" max="7293" width="4.765625" style="1" customWidth="1"/>
    <col min="7294" max="7294" width="6.765625" style="1" customWidth="1"/>
    <col min="7295" max="7295" width="9.3046875" style="1" customWidth="1"/>
    <col min="7296" max="7296" width="9.4609375" style="1" customWidth="1"/>
    <col min="7297" max="7297" width="5.765625" style="1" customWidth="1"/>
    <col min="7298" max="7298" width="6.23046875" style="1" customWidth="1"/>
    <col min="7299" max="7299" width="9" style="1" customWidth="1"/>
    <col min="7300" max="7300" width="13.3046875" style="1" customWidth="1"/>
    <col min="7301" max="7301" width="9.765625" style="1" customWidth="1"/>
    <col min="7302" max="7303" width="9" style="1" hidden="1" customWidth="1"/>
    <col min="7304" max="7538" width="8.69140625" style="1"/>
    <col min="7539" max="7539" width="9" style="1" customWidth="1"/>
    <col min="7540" max="7540" width="12.69140625" style="1" customWidth="1"/>
    <col min="7541" max="7541" width="12.07421875" style="1" customWidth="1"/>
    <col min="7542" max="7542" width="6.4609375" style="1" customWidth="1"/>
    <col min="7543" max="7543" width="5.4609375" style="1" customWidth="1"/>
    <col min="7544" max="7544" width="9.3046875" style="1" customWidth="1"/>
    <col min="7545" max="7549" width="4.765625" style="1" customWidth="1"/>
    <col min="7550" max="7550" width="6.765625" style="1" customWidth="1"/>
    <col min="7551" max="7551" width="9.3046875" style="1" customWidth="1"/>
    <col min="7552" max="7552" width="9.4609375" style="1" customWidth="1"/>
    <col min="7553" max="7553" width="5.765625" style="1" customWidth="1"/>
    <col min="7554" max="7554" width="6.23046875" style="1" customWidth="1"/>
    <col min="7555" max="7555" width="9" style="1" customWidth="1"/>
    <col min="7556" max="7556" width="13.3046875" style="1" customWidth="1"/>
    <col min="7557" max="7557" width="9.765625" style="1" customWidth="1"/>
    <col min="7558" max="7559" width="9" style="1" hidden="1" customWidth="1"/>
    <col min="7560" max="7794" width="8.69140625" style="1"/>
    <col min="7795" max="7795" width="9" style="1" customWidth="1"/>
    <col min="7796" max="7796" width="12.69140625" style="1" customWidth="1"/>
    <col min="7797" max="7797" width="12.07421875" style="1" customWidth="1"/>
    <col min="7798" max="7798" width="6.4609375" style="1" customWidth="1"/>
    <col min="7799" max="7799" width="5.4609375" style="1" customWidth="1"/>
    <col min="7800" max="7800" width="9.3046875" style="1" customWidth="1"/>
    <col min="7801" max="7805" width="4.765625" style="1" customWidth="1"/>
    <col min="7806" max="7806" width="6.765625" style="1" customWidth="1"/>
    <col min="7807" max="7807" width="9.3046875" style="1" customWidth="1"/>
    <col min="7808" max="7808" width="9.4609375" style="1" customWidth="1"/>
    <col min="7809" max="7809" width="5.765625" style="1" customWidth="1"/>
    <col min="7810" max="7810" width="6.23046875" style="1" customWidth="1"/>
    <col min="7811" max="7811" width="9" style="1" customWidth="1"/>
    <col min="7812" max="7812" width="13.3046875" style="1" customWidth="1"/>
    <col min="7813" max="7813" width="9.765625" style="1" customWidth="1"/>
    <col min="7814" max="7815" width="9" style="1" hidden="1" customWidth="1"/>
    <col min="7816" max="8050" width="8.69140625" style="1"/>
    <col min="8051" max="8051" width="9" style="1" customWidth="1"/>
    <col min="8052" max="8052" width="12.69140625" style="1" customWidth="1"/>
    <col min="8053" max="8053" width="12.07421875" style="1" customWidth="1"/>
    <col min="8054" max="8054" width="6.4609375" style="1" customWidth="1"/>
    <col min="8055" max="8055" width="5.4609375" style="1" customWidth="1"/>
    <col min="8056" max="8056" width="9.3046875" style="1" customWidth="1"/>
    <col min="8057" max="8061" width="4.765625" style="1" customWidth="1"/>
    <col min="8062" max="8062" width="6.765625" style="1" customWidth="1"/>
    <col min="8063" max="8063" width="9.3046875" style="1" customWidth="1"/>
    <col min="8064" max="8064" width="9.4609375" style="1" customWidth="1"/>
    <col min="8065" max="8065" width="5.765625" style="1" customWidth="1"/>
    <col min="8066" max="8066" width="6.23046875" style="1" customWidth="1"/>
    <col min="8067" max="8067" width="9" style="1" customWidth="1"/>
    <col min="8068" max="8068" width="13.3046875" style="1" customWidth="1"/>
    <col min="8069" max="8069" width="9.765625" style="1" customWidth="1"/>
    <col min="8070" max="8071" width="9" style="1" hidden="1" customWidth="1"/>
    <col min="8072" max="8306" width="8.69140625" style="1"/>
    <col min="8307" max="8307" width="9" style="1" customWidth="1"/>
    <col min="8308" max="8308" width="12.69140625" style="1" customWidth="1"/>
    <col min="8309" max="8309" width="12.07421875" style="1" customWidth="1"/>
    <col min="8310" max="8310" width="6.4609375" style="1" customWidth="1"/>
    <col min="8311" max="8311" width="5.4609375" style="1" customWidth="1"/>
    <col min="8312" max="8312" width="9.3046875" style="1" customWidth="1"/>
    <col min="8313" max="8317" width="4.765625" style="1" customWidth="1"/>
    <col min="8318" max="8318" width="6.765625" style="1" customWidth="1"/>
    <col min="8319" max="8319" width="9.3046875" style="1" customWidth="1"/>
    <col min="8320" max="8320" width="9.4609375" style="1" customWidth="1"/>
    <col min="8321" max="8321" width="5.765625" style="1" customWidth="1"/>
    <col min="8322" max="8322" width="6.23046875" style="1" customWidth="1"/>
    <col min="8323" max="8323" width="9" style="1" customWidth="1"/>
    <col min="8324" max="8324" width="13.3046875" style="1" customWidth="1"/>
    <col min="8325" max="8325" width="9.765625" style="1" customWidth="1"/>
    <col min="8326" max="8327" width="9" style="1" hidden="1" customWidth="1"/>
    <col min="8328" max="8562" width="8.69140625" style="1"/>
    <col min="8563" max="8563" width="9" style="1" customWidth="1"/>
    <col min="8564" max="8564" width="12.69140625" style="1" customWidth="1"/>
    <col min="8565" max="8565" width="12.07421875" style="1" customWidth="1"/>
    <col min="8566" max="8566" width="6.4609375" style="1" customWidth="1"/>
    <col min="8567" max="8567" width="5.4609375" style="1" customWidth="1"/>
    <col min="8568" max="8568" width="9.3046875" style="1" customWidth="1"/>
    <col min="8569" max="8573" width="4.765625" style="1" customWidth="1"/>
    <col min="8574" max="8574" width="6.765625" style="1" customWidth="1"/>
    <col min="8575" max="8575" width="9.3046875" style="1" customWidth="1"/>
    <col min="8576" max="8576" width="9.4609375" style="1" customWidth="1"/>
    <col min="8577" max="8577" width="5.765625" style="1" customWidth="1"/>
    <col min="8578" max="8578" width="6.23046875" style="1" customWidth="1"/>
    <col min="8579" max="8579" width="9" style="1" customWidth="1"/>
    <col min="8580" max="8580" width="13.3046875" style="1" customWidth="1"/>
    <col min="8581" max="8581" width="9.765625" style="1" customWidth="1"/>
    <col min="8582" max="8583" width="9" style="1" hidden="1" customWidth="1"/>
    <col min="8584" max="8818" width="8.69140625" style="1"/>
    <col min="8819" max="8819" width="9" style="1" customWidth="1"/>
    <col min="8820" max="8820" width="12.69140625" style="1" customWidth="1"/>
    <col min="8821" max="8821" width="12.07421875" style="1" customWidth="1"/>
    <col min="8822" max="8822" width="6.4609375" style="1" customWidth="1"/>
    <col min="8823" max="8823" width="5.4609375" style="1" customWidth="1"/>
    <col min="8824" max="8824" width="9.3046875" style="1" customWidth="1"/>
    <col min="8825" max="8829" width="4.765625" style="1" customWidth="1"/>
    <col min="8830" max="8830" width="6.765625" style="1" customWidth="1"/>
    <col min="8831" max="8831" width="9.3046875" style="1" customWidth="1"/>
    <col min="8832" max="8832" width="9.4609375" style="1" customWidth="1"/>
    <col min="8833" max="8833" width="5.765625" style="1" customWidth="1"/>
    <col min="8834" max="8834" width="6.23046875" style="1" customWidth="1"/>
    <col min="8835" max="8835" width="9" style="1" customWidth="1"/>
    <col min="8836" max="8836" width="13.3046875" style="1" customWidth="1"/>
    <col min="8837" max="8837" width="9.765625" style="1" customWidth="1"/>
    <col min="8838" max="8839" width="9" style="1" hidden="1" customWidth="1"/>
    <col min="8840" max="9074" width="8.69140625" style="1"/>
    <col min="9075" max="9075" width="9" style="1" customWidth="1"/>
    <col min="9076" max="9076" width="12.69140625" style="1" customWidth="1"/>
    <col min="9077" max="9077" width="12.07421875" style="1" customWidth="1"/>
    <col min="9078" max="9078" width="6.4609375" style="1" customWidth="1"/>
    <col min="9079" max="9079" width="5.4609375" style="1" customWidth="1"/>
    <col min="9080" max="9080" width="9.3046875" style="1" customWidth="1"/>
    <col min="9081" max="9085" width="4.765625" style="1" customWidth="1"/>
    <col min="9086" max="9086" width="6.765625" style="1" customWidth="1"/>
    <col min="9087" max="9087" width="9.3046875" style="1" customWidth="1"/>
    <col min="9088" max="9088" width="9.4609375" style="1" customWidth="1"/>
    <col min="9089" max="9089" width="5.765625" style="1" customWidth="1"/>
    <col min="9090" max="9090" width="6.23046875" style="1" customWidth="1"/>
    <col min="9091" max="9091" width="9" style="1" customWidth="1"/>
    <col min="9092" max="9092" width="13.3046875" style="1" customWidth="1"/>
    <col min="9093" max="9093" width="9.765625" style="1" customWidth="1"/>
    <col min="9094" max="9095" width="9" style="1" hidden="1" customWidth="1"/>
    <col min="9096" max="9330" width="8.69140625" style="1"/>
    <col min="9331" max="9331" width="9" style="1" customWidth="1"/>
    <col min="9332" max="9332" width="12.69140625" style="1" customWidth="1"/>
    <col min="9333" max="9333" width="12.07421875" style="1" customWidth="1"/>
    <col min="9334" max="9334" width="6.4609375" style="1" customWidth="1"/>
    <col min="9335" max="9335" width="5.4609375" style="1" customWidth="1"/>
    <col min="9336" max="9336" width="9.3046875" style="1" customWidth="1"/>
    <col min="9337" max="9341" width="4.765625" style="1" customWidth="1"/>
    <col min="9342" max="9342" width="6.765625" style="1" customWidth="1"/>
    <col min="9343" max="9343" width="9.3046875" style="1" customWidth="1"/>
    <col min="9344" max="9344" width="9.4609375" style="1" customWidth="1"/>
    <col min="9345" max="9345" width="5.765625" style="1" customWidth="1"/>
    <col min="9346" max="9346" width="6.23046875" style="1" customWidth="1"/>
    <col min="9347" max="9347" width="9" style="1" customWidth="1"/>
    <col min="9348" max="9348" width="13.3046875" style="1" customWidth="1"/>
    <col min="9349" max="9349" width="9.765625" style="1" customWidth="1"/>
    <col min="9350" max="9351" width="9" style="1" hidden="1" customWidth="1"/>
    <col min="9352" max="9586" width="8.69140625" style="1"/>
    <col min="9587" max="9587" width="9" style="1" customWidth="1"/>
    <col min="9588" max="9588" width="12.69140625" style="1" customWidth="1"/>
    <col min="9589" max="9589" width="12.07421875" style="1" customWidth="1"/>
    <col min="9590" max="9590" width="6.4609375" style="1" customWidth="1"/>
    <col min="9591" max="9591" width="5.4609375" style="1" customWidth="1"/>
    <col min="9592" max="9592" width="9.3046875" style="1" customWidth="1"/>
    <col min="9593" max="9597" width="4.765625" style="1" customWidth="1"/>
    <col min="9598" max="9598" width="6.765625" style="1" customWidth="1"/>
    <col min="9599" max="9599" width="9.3046875" style="1" customWidth="1"/>
    <col min="9600" max="9600" width="9.4609375" style="1" customWidth="1"/>
    <col min="9601" max="9601" width="5.765625" style="1" customWidth="1"/>
    <col min="9602" max="9602" width="6.23046875" style="1" customWidth="1"/>
    <col min="9603" max="9603" width="9" style="1" customWidth="1"/>
    <col min="9604" max="9604" width="13.3046875" style="1" customWidth="1"/>
    <col min="9605" max="9605" width="9.765625" style="1" customWidth="1"/>
    <col min="9606" max="9607" width="9" style="1" hidden="1" customWidth="1"/>
    <col min="9608" max="9842" width="8.69140625" style="1"/>
    <col min="9843" max="9843" width="9" style="1" customWidth="1"/>
    <col min="9844" max="9844" width="12.69140625" style="1" customWidth="1"/>
    <col min="9845" max="9845" width="12.07421875" style="1" customWidth="1"/>
    <col min="9846" max="9846" width="6.4609375" style="1" customWidth="1"/>
    <col min="9847" max="9847" width="5.4609375" style="1" customWidth="1"/>
    <col min="9848" max="9848" width="9.3046875" style="1" customWidth="1"/>
    <col min="9849" max="9853" width="4.765625" style="1" customWidth="1"/>
    <col min="9854" max="9854" width="6.765625" style="1" customWidth="1"/>
    <col min="9855" max="9855" width="9.3046875" style="1" customWidth="1"/>
    <col min="9856" max="9856" width="9.4609375" style="1" customWidth="1"/>
    <col min="9857" max="9857" width="5.765625" style="1" customWidth="1"/>
    <col min="9858" max="9858" width="6.23046875" style="1" customWidth="1"/>
    <col min="9859" max="9859" width="9" style="1" customWidth="1"/>
    <col min="9860" max="9860" width="13.3046875" style="1" customWidth="1"/>
    <col min="9861" max="9861" width="9.765625" style="1" customWidth="1"/>
    <col min="9862" max="9863" width="9" style="1" hidden="1" customWidth="1"/>
    <col min="9864" max="10098" width="8.69140625" style="1"/>
    <col min="10099" max="10099" width="9" style="1" customWidth="1"/>
    <col min="10100" max="10100" width="12.69140625" style="1" customWidth="1"/>
    <col min="10101" max="10101" width="12.07421875" style="1" customWidth="1"/>
    <col min="10102" max="10102" width="6.4609375" style="1" customWidth="1"/>
    <col min="10103" max="10103" width="5.4609375" style="1" customWidth="1"/>
    <col min="10104" max="10104" width="9.3046875" style="1" customWidth="1"/>
    <col min="10105" max="10109" width="4.765625" style="1" customWidth="1"/>
    <col min="10110" max="10110" width="6.765625" style="1" customWidth="1"/>
    <col min="10111" max="10111" width="9.3046875" style="1" customWidth="1"/>
    <col min="10112" max="10112" width="9.4609375" style="1" customWidth="1"/>
    <col min="10113" max="10113" width="5.765625" style="1" customWidth="1"/>
    <col min="10114" max="10114" width="6.23046875" style="1" customWidth="1"/>
    <col min="10115" max="10115" width="9" style="1" customWidth="1"/>
    <col min="10116" max="10116" width="13.3046875" style="1" customWidth="1"/>
    <col min="10117" max="10117" width="9.765625" style="1" customWidth="1"/>
    <col min="10118" max="10119" width="9" style="1" hidden="1" customWidth="1"/>
    <col min="10120" max="10354" width="8.69140625" style="1"/>
    <col min="10355" max="10355" width="9" style="1" customWidth="1"/>
    <col min="10356" max="10356" width="12.69140625" style="1" customWidth="1"/>
    <col min="10357" max="10357" width="12.07421875" style="1" customWidth="1"/>
    <col min="10358" max="10358" width="6.4609375" style="1" customWidth="1"/>
    <col min="10359" max="10359" width="5.4609375" style="1" customWidth="1"/>
    <col min="10360" max="10360" width="9.3046875" style="1" customWidth="1"/>
    <col min="10361" max="10365" width="4.765625" style="1" customWidth="1"/>
    <col min="10366" max="10366" width="6.765625" style="1" customWidth="1"/>
    <col min="10367" max="10367" width="9.3046875" style="1" customWidth="1"/>
    <col min="10368" max="10368" width="9.4609375" style="1" customWidth="1"/>
    <col min="10369" max="10369" width="5.765625" style="1" customWidth="1"/>
    <col min="10370" max="10370" width="6.23046875" style="1" customWidth="1"/>
    <col min="10371" max="10371" width="9" style="1" customWidth="1"/>
    <col min="10372" max="10372" width="13.3046875" style="1" customWidth="1"/>
    <col min="10373" max="10373" width="9.765625" style="1" customWidth="1"/>
    <col min="10374" max="10375" width="9" style="1" hidden="1" customWidth="1"/>
    <col min="10376" max="10610" width="8.69140625" style="1"/>
    <col min="10611" max="10611" width="9" style="1" customWidth="1"/>
    <col min="10612" max="10612" width="12.69140625" style="1" customWidth="1"/>
    <col min="10613" max="10613" width="12.07421875" style="1" customWidth="1"/>
    <col min="10614" max="10614" width="6.4609375" style="1" customWidth="1"/>
    <col min="10615" max="10615" width="5.4609375" style="1" customWidth="1"/>
    <col min="10616" max="10616" width="9.3046875" style="1" customWidth="1"/>
    <col min="10617" max="10621" width="4.765625" style="1" customWidth="1"/>
    <col min="10622" max="10622" width="6.765625" style="1" customWidth="1"/>
    <col min="10623" max="10623" width="9.3046875" style="1" customWidth="1"/>
    <col min="10624" max="10624" width="9.4609375" style="1" customWidth="1"/>
    <col min="10625" max="10625" width="5.765625" style="1" customWidth="1"/>
    <col min="10626" max="10626" width="6.23046875" style="1" customWidth="1"/>
    <col min="10627" max="10627" width="9" style="1" customWidth="1"/>
    <col min="10628" max="10628" width="13.3046875" style="1" customWidth="1"/>
    <col min="10629" max="10629" width="9.765625" style="1" customWidth="1"/>
    <col min="10630" max="10631" width="9" style="1" hidden="1" customWidth="1"/>
    <col min="10632" max="10866" width="8.69140625" style="1"/>
    <col min="10867" max="10867" width="9" style="1" customWidth="1"/>
    <col min="10868" max="10868" width="12.69140625" style="1" customWidth="1"/>
    <col min="10869" max="10869" width="12.07421875" style="1" customWidth="1"/>
    <col min="10870" max="10870" width="6.4609375" style="1" customWidth="1"/>
    <col min="10871" max="10871" width="5.4609375" style="1" customWidth="1"/>
    <col min="10872" max="10872" width="9.3046875" style="1" customWidth="1"/>
    <col min="10873" max="10877" width="4.765625" style="1" customWidth="1"/>
    <col min="10878" max="10878" width="6.765625" style="1" customWidth="1"/>
    <col min="10879" max="10879" width="9.3046875" style="1" customWidth="1"/>
    <col min="10880" max="10880" width="9.4609375" style="1" customWidth="1"/>
    <col min="10881" max="10881" width="5.765625" style="1" customWidth="1"/>
    <col min="10882" max="10882" width="6.23046875" style="1" customWidth="1"/>
    <col min="10883" max="10883" width="9" style="1" customWidth="1"/>
    <col min="10884" max="10884" width="13.3046875" style="1" customWidth="1"/>
    <col min="10885" max="10885" width="9.765625" style="1" customWidth="1"/>
    <col min="10886" max="10887" width="9" style="1" hidden="1" customWidth="1"/>
    <col min="10888" max="11122" width="8.69140625" style="1"/>
    <col min="11123" max="11123" width="9" style="1" customWidth="1"/>
    <col min="11124" max="11124" width="12.69140625" style="1" customWidth="1"/>
    <col min="11125" max="11125" width="12.07421875" style="1" customWidth="1"/>
    <col min="11126" max="11126" width="6.4609375" style="1" customWidth="1"/>
    <col min="11127" max="11127" width="5.4609375" style="1" customWidth="1"/>
    <col min="11128" max="11128" width="9.3046875" style="1" customWidth="1"/>
    <col min="11129" max="11133" width="4.765625" style="1" customWidth="1"/>
    <col min="11134" max="11134" width="6.765625" style="1" customWidth="1"/>
    <col min="11135" max="11135" width="9.3046875" style="1" customWidth="1"/>
    <col min="11136" max="11136" width="9.4609375" style="1" customWidth="1"/>
    <col min="11137" max="11137" width="5.765625" style="1" customWidth="1"/>
    <col min="11138" max="11138" width="6.23046875" style="1" customWidth="1"/>
    <col min="11139" max="11139" width="9" style="1" customWidth="1"/>
    <col min="11140" max="11140" width="13.3046875" style="1" customWidth="1"/>
    <col min="11141" max="11141" width="9.765625" style="1" customWidth="1"/>
    <col min="11142" max="11143" width="9" style="1" hidden="1" customWidth="1"/>
    <col min="11144" max="11378" width="8.69140625" style="1"/>
    <col min="11379" max="11379" width="9" style="1" customWidth="1"/>
    <col min="11380" max="11380" width="12.69140625" style="1" customWidth="1"/>
    <col min="11381" max="11381" width="12.07421875" style="1" customWidth="1"/>
    <col min="11382" max="11382" width="6.4609375" style="1" customWidth="1"/>
    <col min="11383" max="11383" width="5.4609375" style="1" customWidth="1"/>
    <col min="11384" max="11384" width="9.3046875" style="1" customWidth="1"/>
    <col min="11385" max="11389" width="4.765625" style="1" customWidth="1"/>
    <col min="11390" max="11390" width="6.765625" style="1" customWidth="1"/>
    <col min="11391" max="11391" width="9.3046875" style="1" customWidth="1"/>
    <col min="11392" max="11392" width="9.4609375" style="1" customWidth="1"/>
    <col min="11393" max="11393" width="5.765625" style="1" customWidth="1"/>
    <col min="11394" max="11394" width="6.23046875" style="1" customWidth="1"/>
    <col min="11395" max="11395" width="9" style="1" customWidth="1"/>
    <col min="11396" max="11396" width="13.3046875" style="1" customWidth="1"/>
    <col min="11397" max="11397" width="9.765625" style="1" customWidth="1"/>
    <col min="11398" max="11399" width="9" style="1" hidden="1" customWidth="1"/>
    <col min="11400" max="11634" width="8.69140625" style="1"/>
    <col min="11635" max="11635" width="9" style="1" customWidth="1"/>
    <col min="11636" max="11636" width="12.69140625" style="1" customWidth="1"/>
    <col min="11637" max="11637" width="12.07421875" style="1" customWidth="1"/>
    <col min="11638" max="11638" width="6.4609375" style="1" customWidth="1"/>
    <col min="11639" max="11639" width="5.4609375" style="1" customWidth="1"/>
    <col min="11640" max="11640" width="9.3046875" style="1" customWidth="1"/>
    <col min="11641" max="11645" width="4.765625" style="1" customWidth="1"/>
    <col min="11646" max="11646" width="6.765625" style="1" customWidth="1"/>
    <col min="11647" max="11647" width="9.3046875" style="1" customWidth="1"/>
    <col min="11648" max="11648" width="9.4609375" style="1" customWidth="1"/>
    <col min="11649" max="11649" width="5.765625" style="1" customWidth="1"/>
    <col min="11650" max="11650" width="6.23046875" style="1" customWidth="1"/>
    <col min="11651" max="11651" width="9" style="1" customWidth="1"/>
    <col min="11652" max="11652" width="13.3046875" style="1" customWidth="1"/>
    <col min="11653" max="11653" width="9.765625" style="1" customWidth="1"/>
    <col min="11654" max="11655" width="9" style="1" hidden="1" customWidth="1"/>
    <col min="11656" max="11890" width="8.69140625" style="1"/>
    <col min="11891" max="11891" width="9" style="1" customWidth="1"/>
    <col min="11892" max="11892" width="12.69140625" style="1" customWidth="1"/>
    <col min="11893" max="11893" width="12.07421875" style="1" customWidth="1"/>
    <col min="11894" max="11894" width="6.4609375" style="1" customWidth="1"/>
    <col min="11895" max="11895" width="5.4609375" style="1" customWidth="1"/>
    <col min="11896" max="11896" width="9.3046875" style="1" customWidth="1"/>
    <col min="11897" max="11901" width="4.765625" style="1" customWidth="1"/>
    <col min="11902" max="11902" width="6.765625" style="1" customWidth="1"/>
    <col min="11903" max="11903" width="9.3046875" style="1" customWidth="1"/>
    <col min="11904" max="11904" width="9.4609375" style="1" customWidth="1"/>
    <col min="11905" max="11905" width="5.765625" style="1" customWidth="1"/>
    <col min="11906" max="11906" width="6.23046875" style="1" customWidth="1"/>
    <col min="11907" max="11907" width="9" style="1" customWidth="1"/>
    <col min="11908" max="11908" width="13.3046875" style="1" customWidth="1"/>
    <col min="11909" max="11909" width="9.765625" style="1" customWidth="1"/>
    <col min="11910" max="11911" width="9" style="1" hidden="1" customWidth="1"/>
    <col min="11912" max="12146" width="8.69140625" style="1"/>
    <col min="12147" max="12147" width="9" style="1" customWidth="1"/>
    <col min="12148" max="12148" width="12.69140625" style="1" customWidth="1"/>
    <col min="12149" max="12149" width="12.07421875" style="1" customWidth="1"/>
    <col min="12150" max="12150" width="6.4609375" style="1" customWidth="1"/>
    <col min="12151" max="12151" width="5.4609375" style="1" customWidth="1"/>
    <col min="12152" max="12152" width="9.3046875" style="1" customWidth="1"/>
    <col min="12153" max="12157" width="4.765625" style="1" customWidth="1"/>
    <col min="12158" max="12158" width="6.765625" style="1" customWidth="1"/>
    <col min="12159" max="12159" width="9.3046875" style="1" customWidth="1"/>
    <col min="12160" max="12160" width="9.4609375" style="1" customWidth="1"/>
    <col min="12161" max="12161" width="5.765625" style="1" customWidth="1"/>
    <col min="12162" max="12162" width="6.23046875" style="1" customWidth="1"/>
    <col min="12163" max="12163" width="9" style="1" customWidth="1"/>
    <col min="12164" max="12164" width="13.3046875" style="1" customWidth="1"/>
    <col min="12165" max="12165" width="9.765625" style="1" customWidth="1"/>
    <col min="12166" max="12167" width="9" style="1" hidden="1" customWidth="1"/>
    <col min="12168" max="12402" width="8.69140625" style="1"/>
    <col min="12403" max="12403" width="9" style="1" customWidth="1"/>
    <col min="12404" max="12404" width="12.69140625" style="1" customWidth="1"/>
    <col min="12405" max="12405" width="12.07421875" style="1" customWidth="1"/>
    <col min="12406" max="12406" width="6.4609375" style="1" customWidth="1"/>
    <col min="12407" max="12407" width="5.4609375" style="1" customWidth="1"/>
    <col min="12408" max="12408" width="9.3046875" style="1" customWidth="1"/>
    <col min="12409" max="12413" width="4.765625" style="1" customWidth="1"/>
    <col min="12414" max="12414" width="6.765625" style="1" customWidth="1"/>
    <col min="12415" max="12415" width="9.3046875" style="1" customWidth="1"/>
    <col min="12416" max="12416" width="9.4609375" style="1" customWidth="1"/>
    <col min="12417" max="12417" width="5.765625" style="1" customWidth="1"/>
    <col min="12418" max="12418" width="6.23046875" style="1" customWidth="1"/>
    <col min="12419" max="12419" width="9" style="1" customWidth="1"/>
    <col min="12420" max="12420" width="13.3046875" style="1" customWidth="1"/>
    <col min="12421" max="12421" width="9.765625" style="1" customWidth="1"/>
    <col min="12422" max="12423" width="9" style="1" hidden="1" customWidth="1"/>
    <col min="12424" max="12658" width="8.69140625" style="1"/>
    <col min="12659" max="12659" width="9" style="1" customWidth="1"/>
    <col min="12660" max="12660" width="12.69140625" style="1" customWidth="1"/>
    <col min="12661" max="12661" width="12.07421875" style="1" customWidth="1"/>
    <col min="12662" max="12662" width="6.4609375" style="1" customWidth="1"/>
    <col min="12663" max="12663" width="5.4609375" style="1" customWidth="1"/>
    <col min="12664" max="12664" width="9.3046875" style="1" customWidth="1"/>
    <col min="12665" max="12669" width="4.765625" style="1" customWidth="1"/>
    <col min="12670" max="12670" width="6.765625" style="1" customWidth="1"/>
    <col min="12671" max="12671" width="9.3046875" style="1" customWidth="1"/>
    <col min="12672" max="12672" width="9.4609375" style="1" customWidth="1"/>
    <col min="12673" max="12673" width="5.765625" style="1" customWidth="1"/>
    <col min="12674" max="12674" width="6.23046875" style="1" customWidth="1"/>
    <col min="12675" max="12675" width="9" style="1" customWidth="1"/>
    <col min="12676" max="12676" width="13.3046875" style="1" customWidth="1"/>
    <col min="12677" max="12677" width="9.765625" style="1" customWidth="1"/>
    <col min="12678" max="12679" width="9" style="1" hidden="1" customWidth="1"/>
    <col min="12680" max="12914" width="8.69140625" style="1"/>
    <col min="12915" max="12915" width="9" style="1" customWidth="1"/>
    <col min="12916" max="12916" width="12.69140625" style="1" customWidth="1"/>
    <col min="12917" max="12917" width="12.07421875" style="1" customWidth="1"/>
    <col min="12918" max="12918" width="6.4609375" style="1" customWidth="1"/>
    <col min="12919" max="12919" width="5.4609375" style="1" customWidth="1"/>
    <col min="12920" max="12920" width="9.3046875" style="1" customWidth="1"/>
    <col min="12921" max="12925" width="4.765625" style="1" customWidth="1"/>
    <col min="12926" max="12926" width="6.765625" style="1" customWidth="1"/>
    <col min="12927" max="12927" width="9.3046875" style="1" customWidth="1"/>
    <col min="12928" max="12928" width="9.4609375" style="1" customWidth="1"/>
    <col min="12929" max="12929" width="5.765625" style="1" customWidth="1"/>
    <col min="12930" max="12930" width="6.23046875" style="1" customWidth="1"/>
    <col min="12931" max="12931" width="9" style="1" customWidth="1"/>
    <col min="12932" max="12932" width="13.3046875" style="1" customWidth="1"/>
    <col min="12933" max="12933" width="9.765625" style="1" customWidth="1"/>
    <col min="12934" max="12935" width="9" style="1" hidden="1" customWidth="1"/>
    <col min="12936" max="13170" width="8.69140625" style="1"/>
    <col min="13171" max="13171" width="9" style="1" customWidth="1"/>
    <col min="13172" max="13172" width="12.69140625" style="1" customWidth="1"/>
    <col min="13173" max="13173" width="12.07421875" style="1" customWidth="1"/>
    <col min="13174" max="13174" width="6.4609375" style="1" customWidth="1"/>
    <col min="13175" max="13175" width="5.4609375" style="1" customWidth="1"/>
    <col min="13176" max="13176" width="9.3046875" style="1" customWidth="1"/>
    <col min="13177" max="13181" width="4.765625" style="1" customWidth="1"/>
    <col min="13182" max="13182" width="6.765625" style="1" customWidth="1"/>
    <col min="13183" max="13183" width="9.3046875" style="1" customWidth="1"/>
    <col min="13184" max="13184" width="9.4609375" style="1" customWidth="1"/>
    <col min="13185" max="13185" width="5.765625" style="1" customWidth="1"/>
    <col min="13186" max="13186" width="6.23046875" style="1" customWidth="1"/>
    <col min="13187" max="13187" width="9" style="1" customWidth="1"/>
    <col min="13188" max="13188" width="13.3046875" style="1" customWidth="1"/>
    <col min="13189" max="13189" width="9.765625" style="1" customWidth="1"/>
    <col min="13190" max="13191" width="9" style="1" hidden="1" customWidth="1"/>
    <col min="13192" max="13426" width="8.69140625" style="1"/>
    <col min="13427" max="13427" width="9" style="1" customWidth="1"/>
    <col min="13428" max="13428" width="12.69140625" style="1" customWidth="1"/>
    <col min="13429" max="13429" width="12.07421875" style="1" customWidth="1"/>
    <col min="13430" max="13430" width="6.4609375" style="1" customWidth="1"/>
    <col min="13431" max="13431" width="5.4609375" style="1" customWidth="1"/>
    <col min="13432" max="13432" width="9.3046875" style="1" customWidth="1"/>
    <col min="13433" max="13437" width="4.765625" style="1" customWidth="1"/>
    <col min="13438" max="13438" width="6.765625" style="1" customWidth="1"/>
    <col min="13439" max="13439" width="9.3046875" style="1" customWidth="1"/>
    <col min="13440" max="13440" width="9.4609375" style="1" customWidth="1"/>
    <col min="13441" max="13441" width="5.765625" style="1" customWidth="1"/>
    <col min="13442" max="13442" width="6.23046875" style="1" customWidth="1"/>
    <col min="13443" max="13443" width="9" style="1" customWidth="1"/>
    <col min="13444" max="13444" width="13.3046875" style="1" customWidth="1"/>
    <col min="13445" max="13445" width="9.765625" style="1" customWidth="1"/>
    <col min="13446" max="13447" width="9" style="1" hidden="1" customWidth="1"/>
    <col min="13448" max="13682" width="8.69140625" style="1"/>
    <col min="13683" max="13683" width="9" style="1" customWidth="1"/>
    <col min="13684" max="13684" width="12.69140625" style="1" customWidth="1"/>
    <col min="13685" max="13685" width="12.07421875" style="1" customWidth="1"/>
    <col min="13686" max="13686" width="6.4609375" style="1" customWidth="1"/>
    <col min="13687" max="13687" width="5.4609375" style="1" customWidth="1"/>
    <col min="13688" max="13688" width="9.3046875" style="1" customWidth="1"/>
    <col min="13689" max="13693" width="4.765625" style="1" customWidth="1"/>
    <col min="13694" max="13694" width="6.765625" style="1" customWidth="1"/>
    <col min="13695" max="13695" width="9.3046875" style="1" customWidth="1"/>
    <col min="13696" max="13696" width="9.4609375" style="1" customWidth="1"/>
    <col min="13697" max="13697" width="5.765625" style="1" customWidth="1"/>
    <col min="13698" max="13698" width="6.23046875" style="1" customWidth="1"/>
    <col min="13699" max="13699" width="9" style="1" customWidth="1"/>
    <col min="13700" max="13700" width="13.3046875" style="1" customWidth="1"/>
    <col min="13701" max="13701" width="9.765625" style="1" customWidth="1"/>
    <col min="13702" max="13703" width="9" style="1" hidden="1" customWidth="1"/>
    <col min="13704" max="13938" width="8.69140625" style="1"/>
    <col min="13939" max="13939" width="9" style="1" customWidth="1"/>
    <col min="13940" max="13940" width="12.69140625" style="1" customWidth="1"/>
    <col min="13941" max="13941" width="12.07421875" style="1" customWidth="1"/>
    <col min="13942" max="13942" width="6.4609375" style="1" customWidth="1"/>
    <col min="13943" max="13943" width="5.4609375" style="1" customWidth="1"/>
    <col min="13944" max="13944" width="9.3046875" style="1" customWidth="1"/>
    <col min="13945" max="13949" width="4.765625" style="1" customWidth="1"/>
    <col min="13950" max="13950" width="6.765625" style="1" customWidth="1"/>
    <col min="13951" max="13951" width="9.3046875" style="1" customWidth="1"/>
    <col min="13952" max="13952" width="9.4609375" style="1" customWidth="1"/>
    <col min="13953" max="13953" width="5.765625" style="1" customWidth="1"/>
    <col min="13954" max="13954" width="6.23046875" style="1" customWidth="1"/>
    <col min="13955" max="13955" width="9" style="1" customWidth="1"/>
    <col min="13956" max="13956" width="13.3046875" style="1" customWidth="1"/>
    <col min="13957" max="13957" width="9.765625" style="1" customWidth="1"/>
    <col min="13958" max="13959" width="9" style="1" hidden="1" customWidth="1"/>
    <col min="13960" max="14194" width="8.69140625" style="1"/>
    <col min="14195" max="14195" width="9" style="1" customWidth="1"/>
    <col min="14196" max="14196" width="12.69140625" style="1" customWidth="1"/>
    <col min="14197" max="14197" width="12.07421875" style="1" customWidth="1"/>
    <col min="14198" max="14198" width="6.4609375" style="1" customWidth="1"/>
    <col min="14199" max="14199" width="5.4609375" style="1" customWidth="1"/>
    <col min="14200" max="14200" width="9.3046875" style="1" customWidth="1"/>
    <col min="14201" max="14205" width="4.765625" style="1" customWidth="1"/>
    <col min="14206" max="14206" width="6.765625" style="1" customWidth="1"/>
    <col min="14207" max="14207" width="9.3046875" style="1" customWidth="1"/>
    <col min="14208" max="14208" width="9.4609375" style="1" customWidth="1"/>
    <col min="14209" max="14209" width="5.765625" style="1" customWidth="1"/>
    <col min="14210" max="14210" width="6.23046875" style="1" customWidth="1"/>
    <col min="14211" max="14211" width="9" style="1" customWidth="1"/>
    <col min="14212" max="14212" width="13.3046875" style="1" customWidth="1"/>
    <col min="14213" max="14213" width="9.765625" style="1" customWidth="1"/>
    <col min="14214" max="14215" width="9" style="1" hidden="1" customWidth="1"/>
    <col min="14216" max="14450" width="8.69140625" style="1"/>
    <col min="14451" max="14451" width="9" style="1" customWidth="1"/>
    <col min="14452" max="14452" width="12.69140625" style="1" customWidth="1"/>
    <col min="14453" max="14453" width="12.07421875" style="1" customWidth="1"/>
    <col min="14454" max="14454" width="6.4609375" style="1" customWidth="1"/>
    <col min="14455" max="14455" width="5.4609375" style="1" customWidth="1"/>
    <col min="14456" max="14456" width="9.3046875" style="1" customWidth="1"/>
    <col min="14457" max="14461" width="4.765625" style="1" customWidth="1"/>
    <col min="14462" max="14462" width="6.765625" style="1" customWidth="1"/>
    <col min="14463" max="14463" width="9.3046875" style="1" customWidth="1"/>
    <col min="14464" max="14464" width="9.4609375" style="1" customWidth="1"/>
    <col min="14465" max="14465" width="5.765625" style="1" customWidth="1"/>
    <col min="14466" max="14466" width="6.23046875" style="1" customWidth="1"/>
    <col min="14467" max="14467" width="9" style="1" customWidth="1"/>
    <col min="14468" max="14468" width="13.3046875" style="1" customWidth="1"/>
    <col min="14469" max="14469" width="9.765625" style="1" customWidth="1"/>
    <col min="14470" max="14471" width="9" style="1" hidden="1" customWidth="1"/>
    <col min="14472" max="14706" width="8.69140625" style="1"/>
    <col min="14707" max="14707" width="9" style="1" customWidth="1"/>
    <col min="14708" max="14708" width="12.69140625" style="1" customWidth="1"/>
    <col min="14709" max="14709" width="12.07421875" style="1" customWidth="1"/>
    <col min="14710" max="14710" width="6.4609375" style="1" customWidth="1"/>
    <col min="14711" max="14711" width="5.4609375" style="1" customWidth="1"/>
    <col min="14712" max="14712" width="9.3046875" style="1" customWidth="1"/>
    <col min="14713" max="14717" width="4.765625" style="1" customWidth="1"/>
    <col min="14718" max="14718" width="6.765625" style="1" customWidth="1"/>
    <col min="14719" max="14719" width="9.3046875" style="1" customWidth="1"/>
    <col min="14720" max="14720" width="9.4609375" style="1" customWidth="1"/>
    <col min="14721" max="14721" width="5.765625" style="1" customWidth="1"/>
    <col min="14722" max="14722" width="6.23046875" style="1" customWidth="1"/>
    <col min="14723" max="14723" width="9" style="1" customWidth="1"/>
    <col min="14724" max="14724" width="13.3046875" style="1" customWidth="1"/>
    <col min="14725" max="14725" width="9.765625" style="1" customWidth="1"/>
    <col min="14726" max="14727" width="9" style="1" hidden="1" customWidth="1"/>
    <col min="14728" max="14962" width="8.69140625" style="1"/>
    <col min="14963" max="14963" width="9" style="1" customWidth="1"/>
    <col min="14964" max="14964" width="12.69140625" style="1" customWidth="1"/>
    <col min="14965" max="14965" width="12.07421875" style="1" customWidth="1"/>
    <col min="14966" max="14966" width="6.4609375" style="1" customWidth="1"/>
    <col min="14967" max="14967" width="5.4609375" style="1" customWidth="1"/>
    <col min="14968" max="14968" width="9.3046875" style="1" customWidth="1"/>
    <col min="14969" max="14973" width="4.765625" style="1" customWidth="1"/>
    <col min="14974" max="14974" width="6.765625" style="1" customWidth="1"/>
    <col min="14975" max="14975" width="9.3046875" style="1" customWidth="1"/>
    <col min="14976" max="14976" width="9.4609375" style="1" customWidth="1"/>
    <col min="14977" max="14977" width="5.765625" style="1" customWidth="1"/>
    <col min="14978" max="14978" width="6.23046875" style="1" customWidth="1"/>
    <col min="14979" max="14979" width="9" style="1" customWidth="1"/>
    <col min="14980" max="14980" width="13.3046875" style="1" customWidth="1"/>
    <col min="14981" max="14981" width="9.765625" style="1" customWidth="1"/>
    <col min="14982" max="14983" width="9" style="1" hidden="1" customWidth="1"/>
    <col min="14984" max="15218" width="8.69140625" style="1"/>
    <col min="15219" max="15219" width="9" style="1" customWidth="1"/>
    <col min="15220" max="15220" width="12.69140625" style="1" customWidth="1"/>
    <col min="15221" max="15221" width="12.07421875" style="1" customWidth="1"/>
    <col min="15222" max="15222" width="6.4609375" style="1" customWidth="1"/>
    <col min="15223" max="15223" width="5.4609375" style="1" customWidth="1"/>
    <col min="15224" max="15224" width="9.3046875" style="1" customWidth="1"/>
    <col min="15225" max="15229" width="4.765625" style="1" customWidth="1"/>
    <col min="15230" max="15230" width="6.765625" style="1" customWidth="1"/>
    <col min="15231" max="15231" width="9.3046875" style="1" customWidth="1"/>
    <col min="15232" max="15232" width="9.4609375" style="1" customWidth="1"/>
    <col min="15233" max="15233" width="5.765625" style="1" customWidth="1"/>
    <col min="15234" max="15234" width="6.23046875" style="1" customWidth="1"/>
    <col min="15235" max="15235" width="9" style="1" customWidth="1"/>
    <col min="15236" max="15236" width="13.3046875" style="1" customWidth="1"/>
    <col min="15237" max="15237" width="9.765625" style="1" customWidth="1"/>
    <col min="15238" max="15239" width="9" style="1" hidden="1" customWidth="1"/>
    <col min="15240" max="15474" width="8.69140625" style="1"/>
    <col min="15475" max="15475" width="9" style="1" customWidth="1"/>
    <col min="15476" max="15476" width="12.69140625" style="1" customWidth="1"/>
    <col min="15477" max="15477" width="12.07421875" style="1" customWidth="1"/>
    <col min="15478" max="15478" width="6.4609375" style="1" customWidth="1"/>
    <col min="15479" max="15479" width="5.4609375" style="1" customWidth="1"/>
    <col min="15480" max="15480" width="9.3046875" style="1" customWidth="1"/>
    <col min="15481" max="15485" width="4.765625" style="1" customWidth="1"/>
    <col min="15486" max="15486" width="6.765625" style="1" customWidth="1"/>
    <col min="15487" max="15487" width="9.3046875" style="1" customWidth="1"/>
    <col min="15488" max="15488" width="9.4609375" style="1" customWidth="1"/>
    <col min="15489" max="15489" width="5.765625" style="1" customWidth="1"/>
    <col min="15490" max="15490" width="6.23046875" style="1" customWidth="1"/>
    <col min="15491" max="15491" width="9" style="1" customWidth="1"/>
    <col min="15492" max="15492" width="13.3046875" style="1" customWidth="1"/>
    <col min="15493" max="15493" width="9.765625" style="1" customWidth="1"/>
    <col min="15494" max="15495" width="9" style="1" hidden="1" customWidth="1"/>
    <col min="15496" max="15730" width="8.69140625" style="1"/>
    <col min="15731" max="15731" width="9" style="1" customWidth="1"/>
    <col min="15732" max="15732" width="12.69140625" style="1" customWidth="1"/>
    <col min="15733" max="15733" width="12.07421875" style="1" customWidth="1"/>
    <col min="15734" max="15734" width="6.4609375" style="1" customWidth="1"/>
    <col min="15735" max="15735" width="5.4609375" style="1" customWidth="1"/>
    <col min="15736" max="15736" width="9.3046875" style="1" customWidth="1"/>
    <col min="15737" max="15741" width="4.765625" style="1" customWidth="1"/>
    <col min="15742" max="15742" width="6.765625" style="1" customWidth="1"/>
    <col min="15743" max="15743" width="9.3046875" style="1" customWidth="1"/>
    <col min="15744" max="15744" width="9.4609375" style="1" customWidth="1"/>
    <col min="15745" max="15745" width="5.765625" style="1" customWidth="1"/>
    <col min="15746" max="15746" width="6.23046875" style="1" customWidth="1"/>
    <col min="15747" max="15747" width="9" style="1" customWidth="1"/>
    <col min="15748" max="15748" width="13.3046875" style="1" customWidth="1"/>
    <col min="15749" max="15749" width="9.765625" style="1" customWidth="1"/>
    <col min="15750" max="15751" width="9" style="1" hidden="1" customWidth="1"/>
    <col min="15752" max="15986" width="8.69140625" style="1"/>
    <col min="15987" max="15987" width="9" style="1" customWidth="1"/>
    <col min="15988" max="15988" width="12.69140625" style="1" customWidth="1"/>
    <col min="15989" max="15989" width="12.07421875" style="1" customWidth="1"/>
    <col min="15990" max="15990" width="6.4609375" style="1" customWidth="1"/>
    <col min="15991" max="15991" width="5.4609375" style="1" customWidth="1"/>
    <col min="15992" max="15992" width="9.3046875" style="1" customWidth="1"/>
    <col min="15993" max="15997" width="4.765625" style="1" customWidth="1"/>
    <col min="15998" max="15998" width="6.765625" style="1" customWidth="1"/>
    <col min="15999" max="15999" width="9.3046875" style="1" customWidth="1"/>
    <col min="16000" max="16000" width="9.4609375" style="1" customWidth="1"/>
    <col min="16001" max="16001" width="5.765625" style="1" customWidth="1"/>
    <col min="16002" max="16002" width="6.23046875" style="1" customWidth="1"/>
    <col min="16003" max="16003" width="9" style="1" customWidth="1"/>
    <col min="16004" max="16004" width="13.3046875" style="1" customWidth="1"/>
    <col min="16005" max="16005" width="9.765625" style="1" customWidth="1"/>
    <col min="16006" max="16007" width="9" style="1" hidden="1" customWidth="1"/>
    <col min="16008" max="16238" width="8.69140625" style="1"/>
    <col min="16239" max="16240" width="9.07421875" style="1" customWidth="1"/>
    <col min="16241" max="16254" width="8.69140625" style="1"/>
    <col min="16255" max="16383" width="9.07421875" style="1" customWidth="1"/>
    <col min="16384" max="16384" width="9.07421875" style="1"/>
  </cols>
  <sheetData>
    <row r="1" spans="1:21" ht="33.450000000000003" customHeight="1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ht="28.5" customHeight="1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21" s="2" customFormat="1" ht="18" customHeight="1">
      <c r="A3" s="8" t="s">
        <v>2</v>
      </c>
      <c r="B3" s="8"/>
      <c r="C3" s="8"/>
      <c r="D3" s="9"/>
      <c r="E3" s="8"/>
      <c r="F3" s="8"/>
      <c r="G3" s="8"/>
      <c r="H3" s="8"/>
      <c r="I3" s="8"/>
      <c r="J3" s="8"/>
      <c r="K3" s="10"/>
      <c r="L3" s="11"/>
      <c r="M3" s="12"/>
      <c r="N3" s="13"/>
      <c r="O3" s="14"/>
      <c r="P3" s="15"/>
      <c r="Q3" s="12" t="s">
        <v>3</v>
      </c>
      <c r="R3" s="16"/>
      <c r="S3" s="11"/>
      <c r="T3" s="15"/>
      <c r="U3" s="17"/>
    </row>
    <row r="4" spans="1:21" s="3" customFormat="1" ht="16.5" customHeight="1">
      <c r="A4" s="18" t="s">
        <v>4</v>
      </c>
      <c r="B4" s="18" t="s">
        <v>5</v>
      </c>
      <c r="C4" s="18" t="s">
        <v>6</v>
      </c>
      <c r="D4" s="18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/>
      <c r="J4" s="19"/>
      <c r="K4" s="18" t="s">
        <v>12</v>
      </c>
      <c r="L4" s="18" t="s">
        <v>13</v>
      </c>
      <c r="M4" s="18" t="s">
        <v>14</v>
      </c>
      <c r="N4" s="18" t="s">
        <v>15</v>
      </c>
      <c r="O4" s="20" t="s">
        <v>16</v>
      </c>
      <c r="P4" s="20" t="s">
        <v>17</v>
      </c>
      <c r="Q4" s="18" t="s">
        <v>18</v>
      </c>
      <c r="R4" s="83" t="s">
        <v>19</v>
      </c>
      <c r="S4" s="83"/>
      <c r="T4" s="83"/>
      <c r="U4" s="18" t="s">
        <v>20</v>
      </c>
    </row>
    <row r="5" spans="1:21" s="4" customFormat="1" ht="19.100000000000001" customHeight="1">
      <c r="A5" s="76" t="s">
        <v>21</v>
      </c>
      <c r="B5" s="76" t="s">
        <v>22</v>
      </c>
      <c r="C5" s="76" t="s">
        <v>23</v>
      </c>
      <c r="D5" s="22" t="s">
        <v>24</v>
      </c>
      <c r="E5" s="23">
        <v>4</v>
      </c>
      <c r="F5" s="23">
        <v>4</v>
      </c>
      <c r="G5" s="23">
        <v>4</v>
      </c>
      <c r="H5" s="23">
        <v>4</v>
      </c>
      <c r="I5" s="23"/>
      <c r="J5" s="23"/>
      <c r="K5" s="76">
        <v>36</v>
      </c>
      <c r="L5" s="126" t="s">
        <v>25</v>
      </c>
      <c r="M5" s="76">
        <v>67</v>
      </c>
      <c r="N5" s="76">
        <f>M5*K5</f>
        <v>2412</v>
      </c>
      <c r="O5" s="73">
        <v>15</v>
      </c>
      <c r="P5" s="73">
        <v>16</v>
      </c>
      <c r="Q5" s="76">
        <f>P5*M5</f>
        <v>1072</v>
      </c>
      <c r="R5" s="68">
        <v>0.5</v>
      </c>
      <c r="S5" s="68">
        <v>0.48</v>
      </c>
      <c r="T5" s="68">
        <v>0.33</v>
      </c>
      <c r="U5" s="68">
        <f>R5*S5*T5*M5</f>
        <v>5.3064</v>
      </c>
    </row>
    <row r="6" spans="1:21" s="4" customFormat="1" ht="19.100000000000001" customHeight="1">
      <c r="A6" s="77"/>
      <c r="B6" s="77"/>
      <c r="C6" s="77"/>
      <c r="D6" s="22" t="s">
        <v>26</v>
      </c>
      <c r="E6" s="23">
        <v>1</v>
      </c>
      <c r="F6" s="23">
        <v>1</v>
      </c>
      <c r="G6" s="23">
        <v>1</v>
      </c>
      <c r="H6" s="23">
        <v>1</v>
      </c>
      <c r="I6" s="23"/>
      <c r="J6" s="23"/>
      <c r="K6" s="77"/>
      <c r="L6" s="127"/>
      <c r="M6" s="77"/>
      <c r="N6" s="77"/>
      <c r="O6" s="74"/>
      <c r="P6" s="74"/>
      <c r="Q6" s="77"/>
      <c r="R6" s="69"/>
      <c r="S6" s="69"/>
      <c r="T6" s="69"/>
      <c r="U6" s="69"/>
    </row>
    <row r="7" spans="1:21" s="4" customFormat="1" ht="19.100000000000001" customHeight="1">
      <c r="A7" s="77"/>
      <c r="B7" s="77"/>
      <c r="C7" s="77"/>
      <c r="D7" s="22" t="s">
        <v>27</v>
      </c>
      <c r="E7" s="23">
        <v>1</v>
      </c>
      <c r="F7" s="23">
        <v>1</v>
      </c>
      <c r="G7" s="23">
        <v>1</v>
      </c>
      <c r="H7" s="23">
        <v>1</v>
      </c>
      <c r="I7" s="23"/>
      <c r="J7" s="23"/>
      <c r="K7" s="77"/>
      <c r="L7" s="127"/>
      <c r="M7" s="77"/>
      <c r="N7" s="77"/>
      <c r="O7" s="74"/>
      <c r="P7" s="74"/>
      <c r="Q7" s="77"/>
      <c r="R7" s="69"/>
      <c r="S7" s="69"/>
      <c r="T7" s="69"/>
      <c r="U7" s="69"/>
    </row>
    <row r="8" spans="1:21" s="4" customFormat="1" ht="19.100000000000001" customHeight="1">
      <c r="A8" s="77"/>
      <c r="B8" s="77"/>
      <c r="C8" s="77"/>
      <c r="D8" s="22" t="s">
        <v>28</v>
      </c>
      <c r="E8" s="23">
        <v>1</v>
      </c>
      <c r="F8" s="23">
        <v>1</v>
      </c>
      <c r="G8" s="23">
        <v>1</v>
      </c>
      <c r="H8" s="23">
        <v>1</v>
      </c>
      <c r="I8" s="23"/>
      <c r="J8" s="23"/>
      <c r="K8" s="77"/>
      <c r="L8" s="127"/>
      <c r="M8" s="77"/>
      <c r="N8" s="77"/>
      <c r="O8" s="74"/>
      <c r="P8" s="74"/>
      <c r="Q8" s="77"/>
      <c r="R8" s="69"/>
      <c r="S8" s="69"/>
      <c r="T8" s="69"/>
      <c r="U8" s="69"/>
    </row>
    <row r="9" spans="1:21" s="4" customFormat="1" ht="19.100000000000001" customHeight="1">
      <c r="A9" s="77"/>
      <c r="B9" s="77"/>
      <c r="C9" s="77"/>
      <c r="D9" s="22" t="s">
        <v>29</v>
      </c>
      <c r="E9" s="23">
        <v>1</v>
      </c>
      <c r="F9" s="23">
        <v>1</v>
      </c>
      <c r="G9" s="23">
        <v>1</v>
      </c>
      <c r="H9" s="23">
        <v>1</v>
      </c>
      <c r="I9" s="23"/>
      <c r="J9" s="23"/>
      <c r="K9" s="77"/>
      <c r="L9" s="127"/>
      <c r="M9" s="77"/>
      <c r="N9" s="77"/>
      <c r="O9" s="74"/>
      <c r="P9" s="74"/>
      <c r="Q9" s="77"/>
      <c r="R9" s="69"/>
      <c r="S9" s="69"/>
      <c r="T9" s="69"/>
      <c r="U9" s="69"/>
    </row>
    <row r="10" spans="1:21" s="4" customFormat="1" ht="19.100000000000001" customHeight="1">
      <c r="A10" s="77"/>
      <c r="B10" s="77"/>
      <c r="C10" s="77"/>
      <c r="D10" s="40" t="s">
        <v>30</v>
      </c>
      <c r="E10" s="41">
        <v>1</v>
      </c>
      <c r="F10" s="41">
        <v>1</v>
      </c>
      <c r="G10" s="41">
        <v>1</v>
      </c>
      <c r="H10" s="41">
        <v>1</v>
      </c>
      <c r="I10" s="41"/>
      <c r="J10" s="41"/>
      <c r="K10" s="103"/>
      <c r="L10" s="128"/>
      <c r="M10" s="103"/>
      <c r="N10" s="103"/>
      <c r="O10" s="112"/>
      <c r="P10" s="112"/>
      <c r="Q10" s="103"/>
      <c r="R10" s="94"/>
      <c r="S10" s="94"/>
      <c r="T10" s="94"/>
      <c r="U10" s="94"/>
    </row>
    <row r="11" spans="1:21" s="4" customFormat="1" ht="19.100000000000001" customHeight="1">
      <c r="A11" s="76"/>
      <c r="B11" s="76"/>
      <c r="C11" s="76"/>
      <c r="D11" s="36" t="s">
        <v>24</v>
      </c>
      <c r="E11" s="24">
        <v>4</v>
      </c>
      <c r="F11" s="24">
        <v>4</v>
      </c>
      <c r="G11" s="24">
        <v>4</v>
      </c>
      <c r="H11" s="24">
        <v>4</v>
      </c>
      <c r="I11" s="24"/>
      <c r="J11" s="24"/>
      <c r="K11" s="77">
        <v>36</v>
      </c>
      <c r="L11" s="127" t="s">
        <v>31</v>
      </c>
      <c r="M11" s="77">
        <v>15</v>
      </c>
      <c r="N11" s="77">
        <f>M11*K11</f>
        <v>540</v>
      </c>
      <c r="O11" s="74">
        <v>15</v>
      </c>
      <c r="P11" s="74">
        <v>16</v>
      </c>
      <c r="Q11" s="77">
        <f>P11*M11</f>
        <v>240</v>
      </c>
      <c r="R11" s="69">
        <v>0.5</v>
      </c>
      <c r="S11" s="69">
        <v>0.48</v>
      </c>
      <c r="T11" s="69">
        <v>0.33</v>
      </c>
      <c r="U11" s="69">
        <f>R11*S11*T11*M11</f>
        <v>1.1879999999999999</v>
      </c>
    </row>
    <row r="12" spans="1:21" s="4" customFormat="1" ht="19.100000000000001" customHeight="1">
      <c r="A12" s="77"/>
      <c r="B12" s="77"/>
      <c r="C12" s="77"/>
      <c r="D12" s="22" t="s">
        <v>26</v>
      </c>
      <c r="E12" s="23">
        <v>1</v>
      </c>
      <c r="F12" s="23">
        <v>1</v>
      </c>
      <c r="G12" s="23">
        <v>1</v>
      </c>
      <c r="H12" s="23">
        <v>1</v>
      </c>
      <c r="I12" s="23"/>
      <c r="J12" s="23"/>
      <c r="K12" s="77"/>
      <c r="L12" s="127"/>
      <c r="M12" s="77"/>
      <c r="N12" s="77"/>
      <c r="O12" s="74"/>
      <c r="P12" s="74"/>
      <c r="Q12" s="77"/>
      <c r="R12" s="69"/>
      <c r="S12" s="69"/>
      <c r="T12" s="69"/>
      <c r="U12" s="69"/>
    </row>
    <row r="13" spans="1:21" s="4" customFormat="1" ht="19.100000000000001" customHeight="1">
      <c r="A13" s="77"/>
      <c r="B13" s="77"/>
      <c r="C13" s="77"/>
      <c r="D13" s="22" t="s">
        <v>27</v>
      </c>
      <c r="E13" s="23">
        <v>1</v>
      </c>
      <c r="F13" s="23">
        <v>1</v>
      </c>
      <c r="G13" s="23">
        <v>1</v>
      </c>
      <c r="H13" s="23">
        <v>1</v>
      </c>
      <c r="I13" s="23"/>
      <c r="J13" s="23"/>
      <c r="K13" s="77"/>
      <c r="L13" s="127"/>
      <c r="M13" s="77"/>
      <c r="N13" s="77"/>
      <c r="O13" s="74"/>
      <c r="P13" s="74"/>
      <c r="Q13" s="77"/>
      <c r="R13" s="69"/>
      <c r="S13" s="69"/>
      <c r="T13" s="69"/>
      <c r="U13" s="69"/>
    </row>
    <row r="14" spans="1:21" s="4" customFormat="1" ht="19.100000000000001" customHeight="1">
      <c r="A14" s="77"/>
      <c r="B14" s="77"/>
      <c r="C14" s="77"/>
      <c r="D14" s="22" t="s">
        <v>28</v>
      </c>
      <c r="E14" s="23">
        <v>1</v>
      </c>
      <c r="F14" s="23">
        <v>1</v>
      </c>
      <c r="G14" s="23">
        <v>1</v>
      </c>
      <c r="H14" s="23">
        <v>1</v>
      </c>
      <c r="I14" s="23"/>
      <c r="J14" s="23"/>
      <c r="K14" s="77"/>
      <c r="L14" s="127"/>
      <c r="M14" s="77"/>
      <c r="N14" s="77"/>
      <c r="O14" s="74"/>
      <c r="P14" s="74"/>
      <c r="Q14" s="77"/>
      <c r="R14" s="69"/>
      <c r="S14" s="69"/>
      <c r="T14" s="69"/>
      <c r="U14" s="69"/>
    </row>
    <row r="15" spans="1:21" s="4" customFormat="1" ht="19.100000000000001" customHeight="1">
      <c r="A15" s="77"/>
      <c r="B15" s="77"/>
      <c r="C15" s="77"/>
      <c r="D15" s="22" t="s">
        <v>32</v>
      </c>
      <c r="E15" s="23">
        <v>1</v>
      </c>
      <c r="F15" s="23">
        <v>1</v>
      </c>
      <c r="G15" s="23">
        <v>1</v>
      </c>
      <c r="H15" s="23">
        <v>1</v>
      </c>
      <c r="I15" s="23"/>
      <c r="J15" s="23"/>
      <c r="K15" s="77"/>
      <c r="L15" s="127"/>
      <c r="M15" s="77"/>
      <c r="N15" s="77"/>
      <c r="O15" s="74"/>
      <c r="P15" s="74"/>
      <c r="Q15" s="77"/>
      <c r="R15" s="69"/>
      <c r="S15" s="69"/>
      <c r="T15" s="69"/>
      <c r="U15" s="69"/>
    </row>
    <row r="16" spans="1:21" s="4" customFormat="1" ht="19.100000000000001" customHeight="1">
      <c r="A16" s="77"/>
      <c r="B16" s="77"/>
      <c r="C16" s="77"/>
      <c r="D16" s="42" t="s">
        <v>30</v>
      </c>
      <c r="E16" s="21">
        <v>1</v>
      </c>
      <c r="F16" s="21">
        <v>1</v>
      </c>
      <c r="G16" s="21">
        <v>1</v>
      </c>
      <c r="H16" s="21">
        <v>1</v>
      </c>
      <c r="I16" s="21"/>
      <c r="J16" s="21"/>
      <c r="K16" s="77"/>
      <c r="L16" s="127"/>
      <c r="M16" s="77"/>
      <c r="N16" s="77"/>
      <c r="O16" s="74"/>
      <c r="P16" s="74"/>
      <c r="Q16" s="77"/>
      <c r="R16" s="69"/>
      <c r="S16" s="69"/>
      <c r="T16" s="69"/>
      <c r="U16" s="69"/>
    </row>
    <row r="17" spans="1:21" s="4" customFormat="1" ht="19.100000000000001" customHeight="1">
      <c r="A17" s="76"/>
      <c r="B17" s="76"/>
      <c r="C17" s="76"/>
      <c r="D17" s="43" t="s">
        <v>24</v>
      </c>
      <c r="E17" s="44">
        <v>3</v>
      </c>
      <c r="F17" s="44">
        <v>3</v>
      </c>
      <c r="G17" s="44">
        <v>3</v>
      </c>
      <c r="H17" s="44">
        <v>3</v>
      </c>
      <c r="I17" s="44"/>
      <c r="J17" s="44"/>
      <c r="K17" s="104">
        <v>36</v>
      </c>
      <c r="L17" s="129" t="s">
        <v>33</v>
      </c>
      <c r="M17" s="104">
        <v>3</v>
      </c>
      <c r="N17" s="104">
        <f>M17*K17</f>
        <v>108</v>
      </c>
      <c r="O17" s="113">
        <v>15</v>
      </c>
      <c r="P17" s="113">
        <v>16</v>
      </c>
      <c r="Q17" s="104">
        <f>P17*M17</f>
        <v>48</v>
      </c>
      <c r="R17" s="95">
        <v>0.5</v>
      </c>
      <c r="S17" s="95">
        <v>0.48</v>
      </c>
      <c r="T17" s="95">
        <v>0.33</v>
      </c>
      <c r="U17" s="95">
        <f>R17*S17*T17*M17</f>
        <v>0.23760000000000001</v>
      </c>
    </row>
    <row r="18" spans="1:21" s="4" customFormat="1" ht="19.100000000000001" customHeight="1">
      <c r="A18" s="77"/>
      <c r="B18" s="77"/>
      <c r="C18" s="77"/>
      <c r="D18" s="22" t="s">
        <v>26</v>
      </c>
      <c r="E18" s="23">
        <v>1</v>
      </c>
      <c r="F18" s="23">
        <v>1</v>
      </c>
      <c r="G18" s="23">
        <v>1</v>
      </c>
      <c r="H18" s="23">
        <v>1</v>
      </c>
      <c r="I18" s="23"/>
      <c r="J18" s="23"/>
      <c r="K18" s="77"/>
      <c r="L18" s="127"/>
      <c r="M18" s="77"/>
      <c r="N18" s="77"/>
      <c r="O18" s="74"/>
      <c r="P18" s="74"/>
      <c r="Q18" s="77"/>
      <c r="R18" s="69"/>
      <c r="S18" s="69"/>
      <c r="T18" s="69"/>
      <c r="U18" s="69"/>
    </row>
    <row r="19" spans="1:21" s="4" customFormat="1" ht="19.100000000000001" customHeight="1">
      <c r="A19" s="77"/>
      <c r="B19" s="77"/>
      <c r="C19" s="77"/>
      <c r="D19" s="22" t="s">
        <v>27</v>
      </c>
      <c r="E19" s="23">
        <v>1</v>
      </c>
      <c r="F19" s="23">
        <v>1</v>
      </c>
      <c r="G19" s="23">
        <v>1</v>
      </c>
      <c r="H19" s="23">
        <v>1</v>
      </c>
      <c r="I19" s="23"/>
      <c r="J19" s="23"/>
      <c r="K19" s="77"/>
      <c r="L19" s="127"/>
      <c r="M19" s="77"/>
      <c r="N19" s="77"/>
      <c r="O19" s="74"/>
      <c r="P19" s="74"/>
      <c r="Q19" s="77"/>
      <c r="R19" s="69"/>
      <c r="S19" s="69"/>
      <c r="T19" s="69"/>
      <c r="U19" s="69"/>
    </row>
    <row r="20" spans="1:21" s="4" customFormat="1" ht="19.100000000000001" customHeight="1">
      <c r="A20" s="77"/>
      <c r="B20" s="77"/>
      <c r="C20" s="77"/>
      <c r="D20" s="22" t="s">
        <v>28</v>
      </c>
      <c r="E20" s="23">
        <v>1</v>
      </c>
      <c r="F20" s="23">
        <v>1</v>
      </c>
      <c r="G20" s="23">
        <v>1</v>
      </c>
      <c r="H20" s="23">
        <v>1</v>
      </c>
      <c r="I20" s="23"/>
      <c r="J20" s="23"/>
      <c r="K20" s="77"/>
      <c r="L20" s="127"/>
      <c r="M20" s="77"/>
      <c r="N20" s="77"/>
      <c r="O20" s="74"/>
      <c r="P20" s="74"/>
      <c r="Q20" s="77"/>
      <c r="R20" s="69"/>
      <c r="S20" s="69"/>
      <c r="T20" s="69"/>
      <c r="U20" s="69"/>
    </row>
    <row r="21" spans="1:21" s="4" customFormat="1" ht="19.100000000000001" customHeight="1">
      <c r="A21" s="77"/>
      <c r="B21" s="77"/>
      <c r="C21" s="77"/>
      <c r="D21" s="22" t="s">
        <v>32</v>
      </c>
      <c r="E21" s="23">
        <v>2</v>
      </c>
      <c r="F21" s="23">
        <v>2</v>
      </c>
      <c r="G21" s="23">
        <v>2</v>
      </c>
      <c r="H21" s="23">
        <v>2</v>
      </c>
      <c r="I21" s="23"/>
      <c r="J21" s="23"/>
      <c r="K21" s="77"/>
      <c r="L21" s="127"/>
      <c r="M21" s="77"/>
      <c r="N21" s="77"/>
      <c r="O21" s="74"/>
      <c r="P21" s="74"/>
      <c r="Q21" s="77"/>
      <c r="R21" s="69"/>
      <c r="S21" s="69"/>
      <c r="T21" s="69"/>
      <c r="U21" s="69"/>
    </row>
    <row r="22" spans="1:21" s="4" customFormat="1" ht="19.100000000000001" customHeight="1">
      <c r="A22" s="77"/>
      <c r="B22" s="77"/>
      <c r="C22" s="77"/>
      <c r="D22" s="40" t="s">
        <v>30</v>
      </c>
      <c r="E22" s="41">
        <v>1</v>
      </c>
      <c r="F22" s="41">
        <v>1</v>
      </c>
      <c r="G22" s="41">
        <v>1</v>
      </c>
      <c r="H22" s="41">
        <v>1</v>
      </c>
      <c r="I22" s="41"/>
      <c r="J22" s="41"/>
      <c r="K22" s="103"/>
      <c r="L22" s="128"/>
      <c r="M22" s="103"/>
      <c r="N22" s="103"/>
      <c r="O22" s="112"/>
      <c r="P22" s="112"/>
      <c r="Q22" s="103"/>
      <c r="R22" s="94"/>
      <c r="S22" s="94"/>
      <c r="T22" s="94"/>
      <c r="U22" s="94"/>
    </row>
    <row r="23" spans="1:21" s="4" customFormat="1" ht="19.100000000000001" customHeight="1">
      <c r="A23" s="76"/>
      <c r="B23" s="76"/>
      <c r="C23" s="76"/>
      <c r="D23" s="36" t="s">
        <v>24</v>
      </c>
      <c r="E23" s="24">
        <v>2</v>
      </c>
      <c r="F23" s="24">
        <v>2</v>
      </c>
      <c r="G23" s="24">
        <v>2</v>
      </c>
      <c r="H23" s="24">
        <v>2</v>
      </c>
      <c r="I23" s="24"/>
      <c r="J23" s="24"/>
      <c r="K23" s="77">
        <v>36</v>
      </c>
      <c r="L23" s="127" t="s">
        <v>34</v>
      </c>
      <c r="M23" s="77">
        <v>1</v>
      </c>
      <c r="N23" s="77">
        <f>M23*K23</f>
        <v>36</v>
      </c>
      <c r="O23" s="74">
        <v>15</v>
      </c>
      <c r="P23" s="74">
        <v>16</v>
      </c>
      <c r="Q23" s="77">
        <f>P23*M23</f>
        <v>16</v>
      </c>
      <c r="R23" s="69">
        <v>0.5</v>
      </c>
      <c r="S23" s="69">
        <v>0.48</v>
      </c>
      <c r="T23" s="69">
        <v>0.33</v>
      </c>
      <c r="U23" s="69">
        <f>R23*S23*T23*M23</f>
        <v>7.9200000000000007E-2</v>
      </c>
    </row>
    <row r="24" spans="1:21" s="4" customFormat="1" ht="19.100000000000001" customHeight="1">
      <c r="A24" s="77"/>
      <c r="B24" s="77"/>
      <c r="C24" s="77"/>
      <c r="D24" s="22" t="s">
        <v>26</v>
      </c>
      <c r="E24" s="23">
        <v>1</v>
      </c>
      <c r="F24" s="23">
        <v>1</v>
      </c>
      <c r="G24" s="23">
        <v>1</v>
      </c>
      <c r="H24" s="23">
        <v>1</v>
      </c>
      <c r="I24" s="23"/>
      <c r="J24" s="23"/>
      <c r="K24" s="77"/>
      <c r="L24" s="127"/>
      <c r="M24" s="77"/>
      <c r="N24" s="77"/>
      <c r="O24" s="74"/>
      <c r="P24" s="74"/>
      <c r="Q24" s="77"/>
      <c r="R24" s="69"/>
      <c r="S24" s="69"/>
      <c r="T24" s="69"/>
      <c r="U24" s="69"/>
    </row>
    <row r="25" spans="1:21" s="4" customFormat="1" ht="19.100000000000001" customHeight="1">
      <c r="A25" s="77"/>
      <c r="B25" s="77"/>
      <c r="C25" s="77"/>
      <c r="D25" s="22" t="s">
        <v>27</v>
      </c>
      <c r="E25" s="23">
        <v>2</v>
      </c>
      <c r="F25" s="23">
        <v>2</v>
      </c>
      <c r="G25" s="23">
        <v>2</v>
      </c>
      <c r="H25" s="23">
        <v>2</v>
      </c>
      <c r="I25" s="23"/>
      <c r="J25" s="23"/>
      <c r="K25" s="77"/>
      <c r="L25" s="127"/>
      <c r="M25" s="77"/>
      <c r="N25" s="77"/>
      <c r="O25" s="74"/>
      <c r="P25" s="74"/>
      <c r="Q25" s="77"/>
      <c r="R25" s="69"/>
      <c r="S25" s="69"/>
      <c r="T25" s="69"/>
      <c r="U25" s="69"/>
    </row>
    <row r="26" spans="1:21" s="4" customFormat="1" ht="19.100000000000001" customHeight="1">
      <c r="A26" s="77"/>
      <c r="B26" s="77"/>
      <c r="C26" s="77"/>
      <c r="D26" s="22" t="s">
        <v>28</v>
      </c>
      <c r="E26" s="23">
        <v>1</v>
      </c>
      <c r="F26" s="23">
        <v>1</v>
      </c>
      <c r="G26" s="23">
        <v>1</v>
      </c>
      <c r="H26" s="23">
        <v>1</v>
      </c>
      <c r="I26" s="23"/>
      <c r="J26" s="23"/>
      <c r="K26" s="77"/>
      <c r="L26" s="127"/>
      <c r="M26" s="77"/>
      <c r="N26" s="77"/>
      <c r="O26" s="74"/>
      <c r="P26" s="74"/>
      <c r="Q26" s="77"/>
      <c r="R26" s="69"/>
      <c r="S26" s="69"/>
      <c r="T26" s="69"/>
      <c r="U26" s="69"/>
    </row>
    <row r="27" spans="1:21" s="4" customFormat="1" ht="19.100000000000001" customHeight="1">
      <c r="A27" s="77"/>
      <c r="B27" s="77"/>
      <c r="C27" s="77"/>
      <c r="D27" s="22" t="s">
        <v>32</v>
      </c>
      <c r="E27" s="23">
        <v>2</v>
      </c>
      <c r="F27" s="23">
        <v>2</v>
      </c>
      <c r="G27" s="23">
        <v>2</v>
      </c>
      <c r="H27" s="23">
        <v>2</v>
      </c>
      <c r="I27" s="23"/>
      <c r="J27" s="23"/>
      <c r="K27" s="77"/>
      <c r="L27" s="127"/>
      <c r="M27" s="77"/>
      <c r="N27" s="77"/>
      <c r="O27" s="74"/>
      <c r="P27" s="74"/>
      <c r="Q27" s="77"/>
      <c r="R27" s="69"/>
      <c r="S27" s="69"/>
      <c r="T27" s="69"/>
      <c r="U27" s="69"/>
    </row>
    <row r="28" spans="1:21" s="4" customFormat="1" ht="19.100000000000001" customHeight="1">
      <c r="A28" s="77"/>
      <c r="B28" s="77"/>
      <c r="C28" s="77"/>
      <c r="D28" s="42" t="s">
        <v>30</v>
      </c>
      <c r="E28" s="21">
        <v>1</v>
      </c>
      <c r="F28" s="21">
        <v>1</v>
      </c>
      <c r="G28" s="21">
        <v>1</v>
      </c>
      <c r="H28" s="21">
        <v>1</v>
      </c>
      <c r="I28" s="21"/>
      <c r="J28" s="21"/>
      <c r="K28" s="77"/>
      <c r="L28" s="127"/>
      <c r="M28" s="77"/>
      <c r="N28" s="77"/>
      <c r="O28" s="74"/>
      <c r="P28" s="74"/>
      <c r="Q28" s="77"/>
      <c r="R28" s="69"/>
      <c r="S28" s="69"/>
      <c r="T28" s="69"/>
      <c r="U28" s="69"/>
    </row>
    <row r="29" spans="1:21" s="4" customFormat="1" ht="19.100000000000001" customHeight="1">
      <c r="A29" s="77"/>
      <c r="B29" s="77"/>
      <c r="C29" s="77"/>
      <c r="D29" s="43" t="s">
        <v>24</v>
      </c>
      <c r="E29" s="44">
        <v>0</v>
      </c>
      <c r="F29" s="44">
        <v>0</v>
      </c>
      <c r="G29" s="44">
        <v>0</v>
      </c>
      <c r="H29" s="44">
        <v>0</v>
      </c>
      <c r="I29" s="45"/>
      <c r="J29" s="45"/>
      <c r="K29" s="105">
        <v>36</v>
      </c>
      <c r="L29" s="130" t="s">
        <v>35</v>
      </c>
      <c r="M29" s="105">
        <v>7</v>
      </c>
      <c r="N29" s="105">
        <f>M29*K29</f>
        <v>252</v>
      </c>
      <c r="O29" s="114">
        <v>15</v>
      </c>
      <c r="P29" s="114">
        <v>16</v>
      </c>
      <c r="Q29" s="105">
        <f>P29*M29</f>
        <v>112</v>
      </c>
      <c r="R29" s="96">
        <v>0.5</v>
      </c>
      <c r="S29" s="96">
        <v>0.48</v>
      </c>
      <c r="T29" s="96">
        <v>0.33</v>
      </c>
      <c r="U29" s="96">
        <f>R29*S29*T29*M29</f>
        <v>0.5544</v>
      </c>
    </row>
    <row r="30" spans="1:21" s="4" customFormat="1" ht="19.100000000000001" customHeight="1">
      <c r="A30" s="77"/>
      <c r="B30" s="77"/>
      <c r="C30" s="77"/>
      <c r="D30" s="22" t="s">
        <v>26</v>
      </c>
      <c r="E30" s="23">
        <v>1</v>
      </c>
      <c r="F30" s="23">
        <v>1</v>
      </c>
      <c r="G30" s="23">
        <v>1</v>
      </c>
      <c r="H30" s="23">
        <v>1</v>
      </c>
      <c r="I30" s="46"/>
      <c r="J30" s="46"/>
      <c r="K30" s="80"/>
      <c r="L30" s="131"/>
      <c r="M30" s="80"/>
      <c r="N30" s="80"/>
      <c r="O30" s="115"/>
      <c r="P30" s="115"/>
      <c r="Q30" s="80"/>
      <c r="R30" s="72"/>
      <c r="S30" s="72"/>
      <c r="T30" s="72"/>
      <c r="U30" s="72"/>
    </row>
    <row r="31" spans="1:21" s="4" customFormat="1" ht="19.100000000000001" customHeight="1">
      <c r="A31" s="77"/>
      <c r="B31" s="77"/>
      <c r="C31" s="77"/>
      <c r="D31" s="22" t="s">
        <v>27</v>
      </c>
      <c r="E31" s="23">
        <v>2</v>
      </c>
      <c r="F31" s="23">
        <v>2</v>
      </c>
      <c r="G31" s="23">
        <v>2</v>
      </c>
      <c r="H31" s="23">
        <v>2</v>
      </c>
      <c r="I31" s="46"/>
      <c r="J31" s="46"/>
      <c r="K31" s="80"/>
      <c r="L31" s="131"/>
      <c r="M31" s="80"/>
      <c r="N31" s="80"/>
      <c r="O31" s="115"/>
      <c r="P31" s="115"/>
      <c r="Q31" s="80"/>
      <c r="R31" s="72"/>
      <c r="S31" s="72"/>
      <c r="T31" s="72"/>
      <c r="U31" s="72"/>
    </row>
    <row r="32" spans="1:21" s="4" customFormat="1" ht="19.100000000000001" customHeight="1">
      <c r="A32" s="77"/>
      <c r="B32" s="77"/>
      <c r="C32" s="77"/>
      <c r="D32" s="22" t="s">
        <v>28</v>
      </c>
      <c r="E32" s="23">
        <v>2</v>
      </c>
      <c r="F32" s="23">
        <v>2</v>
      </c>
      <c r="G32" s="23">
        <v>2</v>
      </c>
      <c r="H32" s="23">
        <v>2</v>
      </c>
      <c r="I32" s="46"/>
      <c r="J32" s="46"/>
      <c r="K32" s="80"/>
      <c r="L32" s="131"/>
      <c r="M32" s="80"/>
      <c r="N32" s="80"/>
      <c r="O32" s="115"/>
      <c r="P32" s="115"/>
      <c r="Q32" s="80"/>
      <c r="R32" s="72"/>
      <c r="S32" s="72"/>
      <c r="T32" s="72"/>
      <c r="U32" s="72"/>
    </row>
    <row r="33" spans="1:21" s="4" customFormat="1" ht="19.100000000000001" customHeight="1">
      <c r="A33" s="77"/>
      <c r="B33" s="77"/>
      <c r="C33" s="77"/>
      <c r="D33" s="22" t="s">
        <v>32</v>
      </c>
      <c r="E33" s="23">
        <v>2</v>
      </c>
      <c r="F33" s="23">
        <v>2</v>
      </c>
      <c r="G33" s="23">
        <v>2</v>
      </c>
      <c r="H33" s="23">
        <v>2</v>
      </c>
      <c r="I33" s="46"/>
      <c r="J33" s="46"/>
      <c r="K33" s="80"/>
      <c r="L33" s="131"/>
      <c r="M33" s="80"/>
      <c r="N33" s="80"/>
      <c r="O33" s="115"/>
      <c r="P33" s="115"/>
      <c r="Q33" s="80"/>
      <c r="R33" s="72"/>
      <c r="S33" s="72"/>
      <c r="T33" s="72"/>
      <c r="U33" s="72"/>
    </row>
    <row r="34" spans="1:21" s="4" customFormat="1" ht="19.100000000000001" customHeight="1">
      <c r="A34" s="77"/>
      <c r="B34" s="77"/>
      <c r="C34" s="77"/>
      <c r="D34" s="47" t="s">
        <v>30</v>
      </c>
      <c r="E34" s="48">
        <v>2</v>
      </c>
      <c r="F34" s="48">
        <v>2</v>
      </c>
      <c r="G34" s="48">
        <v>2</v>
      </c>
      <c r="H34" s="48">
        <v>2</v>
      </c>
      <c r="I34" s="48"/>
      <c r="J34" s="48"/>
      <c r="K34" s="106"/>
      <c r="L34" s="132"/>
      <c r="M34" s="106"/>
      <c r="N34" s="106"/>
      <c r="O34" s="116"/>
      <c r="P34" s="116"/>
      <c r="Q34" s="106"/>
      <c r="R34" s="97"/>
      <c r="S34" s="97"/>
      <c r="T34" s="97"/>
      <c r="U34" s="97"/>
    </row>
    <row r="35" spans="1:21" s="4" customFormat="1" ht="19.100000000000001" customHeight="1">
      <c r="A35" s="77"/>
      <c r="B35" s="77"/>
      <c r="C35" s="77"/>
      <c r="D35" s="49" t="s">
        <v>24</v>
      </c>
      <c r="E35" s="50">
        <v>0</v>
      </c>
      <c r="F35" s="50">
        <v>0</v>
      </c>
      <c r="G35" s="50">
        <v>0</v>
      </c>
      <c r="H35" s="50">
        <v>0</v>
      </c>
      <c r="I35" s="51"/>
      <c r="J35" s="51"/>
      <c r="K35" s="107">
        <v>36</v>
      </c>
      <c r="L35" s="125" t="s">
        <v>36</v>
      </c>
      <c r="M35" s="107">
        <v>7</v>
      </c>
      <c r="N35" s="107">
        <f>M35*K35</f>
        <v>252</v>
      </c>
      <c r="O35" s="117">
        <v>15</v>
      </c>
      <c r="P35" s="117">
        <v>16</v>
      </c>
      <c r="Q35" s="107">
        <f>P35*M35</f>
        <v>112</v>
      </c>
      <c r="R35" s="98">
        <v>0.5</v>
      </c>
      <c r="S35" s="98">
        <v>0.48</v>
      </c>
      <c r="T35" s="98">
        <v>0.33</v>
      </c>
      <c r="U35" s="98">
        <f>R35*S35*T35*M35</f>
        <v>0.5544</v>
      </c>
    </row>
    <row r="36" spans="1:21" s="4" customFormat="1" ht="19.100000000000001" customHeight="1">
      <c r="A36" s="77"/>
      <c r="B36" s="77"/>
      <c r="C36" s="77"/>
      <c r="D36" s="52" t="s">
        <v>26</v>
      </c>
      <c r="E36" s="53">
        <v>2</v>
      </c>
      <c r="F36" s="53">
        <v>2</v>
      </c>
      <c r="G36" s="53">
        <v>2</v>
      </c>
      <c r="H36" s="53">
        <v>2</v>
      </c>
      <c r="I36" s="54"/>
      <c r="J36" s="54"/>
      <c r="K36" s="108"/>
      <c r="L36" s="123"/>
      <c r="M36" s="108"/>
      <c r="N36" s="108"/>
      <c r="O36" s="118"/>
      <c r="P36" s="118"/>
      <c r="Q36" s="108"/>
      <c r="R36" s="99"/>
      <c r="S36" s="99"/>
      <c r="T36" s="99"/>
      <c r="U36" s="99"/>
    </row>
    <row r="37" spans="1:21" s="4" customFormat="1" ht="19.100000000000001" customHeight="1">
      <c r="A37" s="77"/>
      <c r="B37" s="77"/>
      <c r="C37" s="77"/>
      <c r="D37" s="52" t="s">
        <v>27</v>
      </c>
      <c r="E37" s="53">
        <v>2</v>
      </c>
      <c r="F37" s="53">
        <v>2</v>
      </c>
      <c r="G37" s="53">
        <v>2</v>
      </c>
      <c r="H37" s="53">
        <v>2</v>
      </c>
      <c r="I37" s="54"/>
      <c r="J37" s="54"/>
      <c r="K37" s="108"/>
      <c r="L37" s="123"/>
      <c r="M37" s="108"/>
      <c r="N37" s="108"/>
      <c r="O37" s="118"/>
      <c r="P37" s="118"/>
      <c r="Q37" s="108"/>
      <c r="R37" s="99"/>
      <c r="S37" s="99"/>
      <c r="T37" s="99"/>
      <c r="U37" s="99"/>
    </row>
    <row r="38" spans="1:21" s="4" customFormat="1" ht="19.100000000000001" customHeight="1">
      <c r="A38" s="77"/>
      <c r="B38" s="77"/>
      <c r="C38" s="77"/>
      <c r="D38" s="52" t="s">
        <v>28</v>
      </c>
      <c r="E38" s="53">
        <v>2</v>
      </c>
      <c r="F38" s="53">
        <v>2</v>
      </c>
      <c r="G38" s="53">
        <v>2</v>
      </c>
      <c r="H38" s="53">
        <v>2</v>
      </c>
      <c r="I38" s="54"/>
      <c r="J38" s="54"/>
      <c r="K38" s="108"/>
      <c r="L38" s="123"/>
      <c r="M38" s="108"/>
      <c r="N38" s="108"/>
      <c r="O38" s="118"/>
      <c r="P38" s="118"/>
      <c r="Q38" s="108"/>
      <c r="R38" s="99"/>
      <c r="S38" s="99"/>
      <c r="T38" s="99"/>
      <c r="U38" s="99"/>
    </row>
    <row r="39" spans="1:21" s="4" customFormat="1" ht="19.100000000000001" customHeight="1">
      <c r="A39" s="77"/>
      <c r="B39" s="77"/>
      <c r="C39" s="77"/>
      <c r="D39" s="22" t="s">
        <v>32</v>
      </c>
      <c r="E39" s="53">
        <v>2</v>
      </c>
      <c r="F39" s="53">
        <v>2</v>
      </c>
      <c r="G39" s="53">
        <v>2</v>
      </c>
      <c r="H39" s="53">
        <v>2</v>
      </c>
      <c r="I39" s="54"/>
      <c r="J39" s="54"/>
      <c r="K39" s="108"/>
      <c r="L39" s="123"/>
      <c r="M39" s="108"/>
      <c r="N39" s="108"/>
      <c r="O39" s="118"/>
      <c r="P39" s="118"/>
      <c r="Q39" s="108"/>
      <c r="R39" s="99"/>
      <c r="S39" s="99"/>
      <c r="T39" s="99"/>
      <c r="U39" s="99"/>
    </row>
    <row r="40" spans="1:21" s="4" customFormat="1" ht="19.100000000000001" customHeight="1">
      <c r="A40" s="77"/>
      <c r="B40" s="77"/>
      <c r="C40" s="77"/>
      <c r="D40" s="55" t="s">
        <v>30</v>
      </c>
      <c r="E40" s="56">
        <v>1</v>
      </c>
      <c r="F40" s="56">
        <v>1</v>
      </c>
      <c r="G40" s="56">
        <v>1</v>
      </c>
      <c r="H40" s="56">
        <v>1</v>
      </c>
      <c r="I40" s="57"/>
      <c r="J40" s="57"/>
      <c r="K40" s="109"/>
      <c r="L40" s="133"/>
      <c r="M40" s="109"/>
      <c r="N40" s="109"/>
      <c r="O40" s="119"/>
      <c r="P40" s="119"/>
      <c r="Q40" s="109"/>
      <c r="R40" s="100"/>
      <c r="S40" s="100"/>
      <c r="T40" s="100"/>
      <c r="U40" s="100"/>
    </row>
    <row r="41" spans="1:21" s="4" customFormat="1" ht="19.100000000000001" customHeight="1">
      <c r="A41" s="77"/>
      <c r="B41" s="77"/>
      <c r="C41" s="77"/>
      <c r="D41" s="58" t="s">
        <v>24</v>
      </c>
      <c r="E41" s="59">
        <v>0</v>
      </c>
      <c r="F41" s="59">
        <v>0</v>
      </c>
      <c r="G41" s="59">
        <v>0</v>
      </c>
      <c r="H41" s="59">
        <v>0</v>
      </c>
      <c r="I41" s="60"/>
      <c r="J41" s="60"/>
      <c r="K41" s="110">
        <v>36</v>
      </c>
      <c r="L41" s="122" t="s">
        <v>37</v>
      </c>
      <c r="M41" s="110">
        <v>2</v>
      </c>
      <c r="N41" s="110">
        <f>M41*K41</f>
        <v>72</v>
      </c>
      <c r="O41" s="120">
        <v>15</v>
      </c>
      <c r="P41" s="120">
        <v>16</v>
      </c>
      <c r="Q41" s="110">
        <f>P41*M41</f>
        <v>32</v>
      </c>
      <c r="R41" s="101">
        <v>0.5</v>
      </c>
      <c r="S41" s="101">
        <v>0.48</v>
      </c>
      <c r="T41" s="101">
        <v>0.33</v>
      </c>
      <c r="U41" s="101">
        <f>R41*S41*T41*M41</f>
        <v>0.15840000000000001</v>
      </c>
    </row>
    <row r="42" spans="1:21" s="4" customFormat="1" ht="19.100000000000001" customHeight="1">
      <c r="A42" s="77"/>
      <c r="B42" s="77"/>
      <c r="C42" s="77"/>
      <c r="D42" s="52" t="s">
        <v>26</v>
      </c>
      <c r="E42" s="53">
        <v>2</v>
      </c>
      <c r="F42" s="53">
        <v>2</v>
      </c>
      <c r="G42" s="53">
        <v>2</v>
      </c>
      <c r="H42" s="53">
        <v>2</v>
      </c>
      <c r="I42" s="54"/>
      <c r="J42" s="54"/>
      <c r="K42" s="108"/>
      <c r="L42" s="123"/>
      <c r="M42" s="108"/>
      <c r="N42" s="108"/>
      <c r="O42" s="118"/>
      <c r="P42" s="118"/>
      <c r="Q42" s="108"/>
      <c r="R42" s="99"/>
      <c r="S42" s="99"/>
      <c r="T42" s="99"/>
      <c r="U42" s="99"/>
    </row>
    <row r="43" spans="1:21" s="4" customFormat="1" ht="19.100000000000001" customHeight="1">
      <c r="A43" s="77"/>
      <c r="B43" s="77"/>
      <c r="C43" s="77"/>
      <c r="D43" s="52" t="s">
        <v>27</v>
      </c>
      <c r="E43" s="53">
        <v>1</v>
      </c>
      <c r="F43" s="53">
        <v>1</v>
      </c>
      <c r="G43" s="53">
        <v>1</v>
      </c>
      <c r="H43" s="53">
        <v>1</v>
      </c>
      <c r="I43" s="54"/>
      <c r="J43" s="54"/>
      <c r="K43" s="108"/>
      <c r="L43" s="123"/>
      <c r="M43" s="108"/>
      <c r="N43" s="108"/>
      <c r="O43" s="118"/>
      <c r="P43" s="118"/>
      <c r="Q43" s="108"/>
      <c r="R43" s="99"/>
      <c r="S43" s="99"/>
      <c r="T43" s="99"/>
      <c r="U43" s="99"/>
    </row>
    <row r="44" spans="1:21" s="4" customFormat="1" ht="19.100000000000001" customHeight="1">
      <c r="A44" s="77"/>
      <c r="B44" s="77"/>
      <c r="C44" s="77"/>
      <c r="D44" s="52" t="s">
        <v>28</v>
      </c>
      <c r="E44" s="53">
        <v>2</v>
      </c>
      <c r="F44" s="53">
        <v>2</v>
      </c>
      <c r="G44" s="53">
        <v>2</v>
      </c>
      <c r="H44" s="53">
        <v>2</v>
      </c>
      <c r="I44" s="54"/>
      <c r="J44" s="54"/>
      <c r="K44" s="108"/>
      <c r="L44" s="123"/>
      <c r="M44" s="108"/>
      <c r="N44" s="108"/>
      <c r="O44" s="118"/>
      <c r="P44" s="118"/>
      <c r="Q44" s="108"/>
      <c r="R44" s="99"/>
      <c r="S44" s="99"/>
      <c r="T44" s="99"/>
      <c r="U44" s="99"/>
    </row>
    <row r="45" spans="1:21" s="4" customFormat="1" ht="19.100000000000001" customHeight="1">
      <c r="A45" s="77"/>
      <c r="B45" s="77"/>
      <c r="C45" s="77"/>
      <c r="D45" s="22" t="s">
        <v>32</v>
      </c>
      <c r="E45" s="53">
        <v>2</v>
      </c>
      <c r="F45" s="53">
        <v>2</v>
      </c>
      <c r="G45" s="53">
        <v>2</v>
      </c>
      <c r="H45" s="53">
        <v>2</v>
      </c>
      <c r="I45" s="54"/>
      <c r="J45" s="54"/>
      <c r="K45" s="108"/>
      <c r="L45" s="123"/>
      <c r="M45" s="108"/>
      <c r="N45" s="108"/>
      <c r="O45" s="118"/>
      <c r="P45" s="118"/>
      <c r="Q45" s="108"/>
      <c r="R45" s="99"/>
      <c r="S45" s="99"/>
      <c r="T45" s="99"/>
      <c r="U45" s="99"/>
    </row>
    <row r="46" spans="1:21" s="4" customFormat="1" ht="19.100000000000001" customHeight="1">
      <c r="A46" s="77"/>
      <c r="B46" s="77"/>
      <c r="C46" s="77"/>
      <c r="D46" s="61" t="s">
        <v>30</v>
      </c>
      <c r="E46" s="62">
        <v>2</v>
      </c>
      <c r="F46" s="62">
        <v>2</v>
      </c>
      <c r="G46" s="62">
        <v>2</v>
      </c>
      <c r="H46" s="62">
        <v>2</v>
      </c>
      <c r="I46" s="63"/>
      <c r="J46" s="63"/>
      <c r="K46" s="111"/>
      <c r="L46" s="124"/>
      <c r="M46" s="111"/>
      <c r="N46" s="111"/>
      <c r="O46" s="121"/>
      <c r="P46" s="121"/>
      <c r="Q46" s="111"/>
      <c r="R46" s="102"/>
      <c r="S46" s="102"/>
      <c r="T46" s="102"/>
      <c r="U46" s="102"/>
    </row>
    <row r="47" spans="1:21" s="4" customFormat="1" ht="19.100000000000001" customHeight="1">
      <c r="A47" s="77"/>
      <c r="B47" s="77"/>
      <c r="C47" s="77"/>
      <c r="D47" s="58" t="s">
        <v>24</v>
      </c>
      <c r="E47" s="59">
        <v>0</v>
      </c>
      <c r="F47" s="59">
        <v>0</v>
      </c>
      <c r="G47" s="59">
        <v>0</v>
      </c>
      <c r="H47" s="59">
        <v>0</v>
      </c>
      <c r="I47" s="60"/>
      <c r="J47" s="60"/>
      <c r="K47" s="110">
        <v>36</v>
      </c>
      <c r="L47" s="122" t="s">
        <v>38</v>
      </c>
      <c r="M47" s="110">
        <v>1</v>
      </c>
      <c r="N47" s="110">
        <f>M47*K47</f>
        <v>36</v>
      </c>
      <c r="O47" s="120">
        <v>15</v>
      </c>
      <c r="P47" s="120">
        <v>16</v>
      </c>
      <c r="Q47" s="110">
        <f>P47*M47</f>
        <v>16</v>
      </c>
      <c r="R47" s="101">
        <v>0.5</v>
      </c>
      <c r="S47" s="101">
        <v>0.48</v>
      </c>
      <c r="T47" s="101">
        <v>0.33</v>
      </c>
      <c r="U47" s="101">
        <f>R47*S47*T47*M47</f>
        <v>7.9200000000000007E-2</v>
      </c>
    </row>
    <row r="48" spans="1:21" s="4" customFormat="1" ht="19.100000000000001" customHeight="1">
      <c r="A48" s="77"/>
      <c r="B48" s="77"/>
      <c r="C48" s="77"/>
      <c r="D48" s="52" t="s">
        <v>26</v>
      </c>
      <c r="E48" s="53">
        <v>1</v>
      </c>
      <c r="F48" s="53">
        <v>1</v>
      </c>
      <c r="G48" s="53">
        <v>1</v>
      </c>
      <c r="H48" s="53">
        <v>1</v>
      </c>
      <c r="I48" s="54"/>
      <c r="J48" s="54"/>
      <c r="K48" s="108"/>
      <c r="L48" s="123"/>
      <c r="M48" s="108"/>
      <c r="N48" s="108"/>
      <c r="O48" s="118"/>
      <c r="P48" s="118"/>
      <c r="Q48" s="108"/>
      <c r="R48" s="99"/>
      <c r="S48" s="99"/>
      <c r="T48" s="99"/>
      <c r="U48" s="99"/>
    </row>
    <row r="49" spans="1:21" s="4" customFormat="1" ht="19.100000000000001" customHeight="1">
      <c r="A49" s="77"/>
      <c r="B49" s="77"/>
      <c r="C49" s="77"/>
      <c r="D49" s="52" t="s">
        <v>27</v>
      </c>
      <c r="E49" s="53">
        <v>1</v>
      </c>
      <c r="F49" s="53">
        <v>1</v>
      </c>
      <c r="G49" s="53">
        <v>1</v>
      </c>
      <c r="H49" s="53">
        <v>1</v>
      </c>
      <c r="I49" s="54"/>
      <c r="J49" s="54"/>
      <c r="K49" s="108"/>
      <c r="L49" s="123"/>
      <c r="M49" s="108"/>
      <c r="N49" s="108"/>
      <c r="O49" s="118"/>
      <c r="P49" s="118"/>
      <c r="Q49" s="108"/>
      <c r="R49" s="99"/>
      <c r="S49" s="99"/>
      <c r="T49" s="99"/>
      <c r="U49" s="99"/>
    </row>
    <row r="50" spans="1:21" s="4" customFormat="1" ht="19.100000000000001" customHeight="1">
      <c r="A50" s="77"/>
      <c r="B50" s="77"/>
      <c r="C50" s="77"/>
      <c r="D50" s="52" t="s">
        <v>28</v>
      </c>
      <c r="E50" s="53">
        <v>1</v>
      </c>
      <c r="F50" s="53">
        <v>1</v>
      </c>
      <c r="G50" s="53">
        <v>1</v>
      </c>
      <c r="H50" s="53">
        <v>1</v>
      </c>
      <c r="I50" s="54"/>
      <c r="J50" s="54"/>
      <c r="K50" s="108"/>
      <c r="L50" s="123"/>
      <c r="M50" s="108"/>
      <c r="N50" s="108"/>
      <c r="O50" s="118"/>
      <c r="P50" s="118"/>
      <c r="Q50" s="108"/>
      <c r="R50" s="99"/>
      <c r="S50" s="99"/>
      <c r="T50" s="99"/>
      <c r="U50" s="99"/>
    </row>
    <row r="51" spans="1:21" s="4" customFormat="1" ht="19.100000000000001" customHeight="1">
      <c r="A51" s="77"/>
      <c r="B51" s="77"/>
      <c r="C51" s="77"/>
      <c r="D51" s="22" t="s">
        <v>32</v>
      </c>
      <c r="E51" s="53">
        <v>4</v>
      </c>
      <c r="F51" s="53">
        <v>4</v>
      </c>
      <c r="G51" s="53">
        <v>4</v>
      </c>
      <c r="H51" s="53">
        <v>4</v>
      </c>
      <c r="I51" s="54"/>
      <c r="J51" s="54"/>
      <c r="K51" s="108"/>
      <c r="L51" s="123"/>
      <c r="M51" s="108"/>
      <c r="N51" s="108"/>
      <c r="O51" s="118"/>
      <c r="P51" s="118"/>
      <c r="Q51" s="108"/>
      <c r="R51" s="99"/>
      <c r="S51" s="99"/>
      <c r="T51" s="99"/>
      <c r="U51" s="99"/>
    </row>
    <row r="52" spans="1:21" s="4" customFormat="1" ht="19.100000000000001" customHeight="1">
      <c r="A52" s="77"/>
      <c r="B52" s="77"/>
      <c r="C52" s="77"/>
      <c r="D52" s="61" t="s">
        <v>30</v>
      </c>
      <c r="E52" s="62">
        <v>2</v>
      </c>
      <c r="F52" s="62">
        <v>2</v>
      </c>
      <c r="G52" s="62">
        <v>2</v>
      </c>
      <c r="H52" s="62">
        <v>2</v>
      </c>
      <c r="I52" s="63"/>
      <c r="J52" s="63"/>
      <c r="K52" s="111"/>
      <c r="L52" s="124"/>
      <c r="M52" s="111"/>
      <c r="N52" s="111"/>
      <c r="O52" s="121"/>
      <c r="P52" s="121"/>
      <c r="Q52" s="111"/>
      <c r="R52" s="102"/>
      <c r="S52" s="102"/>
      <c r="T52" s="102"/>
      <c r="U52" s="102"/>
    </row>
    <row r="53" spans="1:21" s="4" customFormat="1" ht="19.100000000000001" customHeight="1">
      <c r="A53" s="77"/>
      <c r="B53" s="77"/>
      <c r="C53" s="77"/>
      <c r="D53" s="49" t="s">
        <v>24</v>
      </c>
      <c r="E53" s="50">
        <v>1</v>
      </c>
      <c r="F53" s="50">
        <v>0</v>
      </c>
      <c r="G53" s="50">
        <v>0</v>
      </c>
      <c r="H53" s="50">
        <v>1</v>
      </c>
      <c r="I53" s="51"/>
      <c r="J53" s="51"/>
      <c r="K53" s="107">
        <v>31</v>
      </c>
      <c r="L53" s="125" t="s">
        <v>39</v>
      </c>
      <c r="M53" s="107">
        <v>1</v>
      </c>
      <c r="N53" s="107">
        <v>31</v>
      </c>
      <c r="O53" s="117">
        <v>15</v>
      </c>
      <c r="P53" s="117">
        <v>16</v>
      </c>
      <c r="Q53" s="107">
        <f>P53*M53</f>
        <v>16</v>
      </c>
      <c r="R53" s="98">
        <v>0.5</v>
      </c>
      <c r="S53" s="98">
        <v>0.48</v>
      </c>
      <c r="T53" s="98">
        <v>0.33</v>
      </c>
      <c r="U53" s="98">
        <f>R53*S53*T53*M53</f>
        <v>7.9200000000000007E-2</v>
      </c>
    </row>
    <row r="54" spans="1:21" s="4" customFormat="1" ht="19.100000000000001" customHeight="1">
      <c r="A54" s="77"/>
      <c r="B54" s="77"/>
      <c r="C54" s="77"/>
      <c r="D54" s="52" t="s">
        <v>26</v>
      </c>
      <c r="E54" s="53">
        <v>2</v>
      </c>
      <c r="F54" s="53">
        <v>2</v>
      </c>
      <c r="G54" s="53">
        <v>2</v>
      </c>
      <c r="H54" s="53">
        <v>2</v>
      </c>
      <c r="I54" s="54"/>
      <c r="J54" s="54"/>
      <c r="K54" s="108"/>
      <c r="L54" s="123"/>
      <c r="M54" s="108"/>
      <c r="N54" s="108"/>
      <c r="O54" s="118"/>
      <c r="P54" s="118"/>
      <c r="Q54" s="108"/>
      <c r="R54" s="99"/>
      <c r="S54" s="99"/>
      <c r="T54" s="99"/>
      <c r="U54" s="99"/>
    </row>
    <row r="55" spans="1:21" s="4" customFormat="1" ht="19.100000000000001" customHeight="1">
      <c r="A55" s="77"/>
      <c r="B55" s="77"/>
      <c r="C55" s="77"/>
      <c r="D55" s="52" t="s">
        <v>27</v>
      </c>
      <c r="E55" s="53">
        <v>1</v>
      </c>
      <c r="F55" s="53">
        <v>1</v>
      </c>
      <c r="G55" s="53">
        <v>1</v>
      </c>
      <c r="H55" s="53">
        <v>1</v>
      </c>
      <c r="I55" s="54"/>
      <c r="J55" s="54"/>
      <c r="K55" s="108"/>
      <c r="L55" s="123"/>
      <c r="M55" s="108"/>
      <c r="N55" s="108"/>
      <c r="O55" s="118"/>
      <c r="P55" s="118"/>
      <c r="Q55" s="108"/>
      <c r="R55" s="99"/>
      <c r="S55" s="99"/>
      <c r="T55" s="99"/>
      <c r="U55" s="99"/>
    </row>
    <row r="56" spans="1:21" s="4" customFormat="1" ht="19.100000000000001" customHeight="1">
      <c r="A56" s="77"/>
      <c r="B56" s="77"/>
      <c r="C56" s="77"/>
      <c r="D56" s="52" t="s">
        <v>28</v>
      </c>
      <c r="E56" s="53">
        <v>1</v>
      </c>
      <c r="F56" s="53">
        <v>0</v>
      </c>
      <c r="G56" s="53">
        <v>1</v>
      </c>
      <c r="H56" s="53">
        <v>1</v>
      </c>
      <c r="I56" s="54"/>
      <c r="J56" s="54"/>
      <c r="K56" s="108"/>
      <c r="L56" s="123"/>
      <c r="M56" s="108"/>
      <c r="N56" s="108"/>
      <c r="O56" s="118"/>
      <c r="P56" s="118"/>
      <c r="Q56" s="108"/>
      <c r="R56" s="99"/>
      <c r="S56" s="99"/>
      <c r="T56" s="99"/>
      <c r="U56" s="99"/>
    </row>
    <row r="57" spans="1:21" s="4" customFormat="1" ht="19.100000000000001" customHeight="1">
      <c r="A57" s="77"/>
      <c r="B57" s="77"/>
      <c r="C57" s="77"/>
      <c r="D57" s="22" t="s">
        <v>32</v>
      </c>
      <c r="E57" s="53">
        <v>3</v>
      </c>
      <c r="F57" s="53">
        <v>2</v>
      </c>
      <c r="G57" s="53">
        <v>2</v>
      </c>
      <c r="H57" s="53">
        <v>3</v>
      </c>
      <c r="I57" s="54"/>
      <c r="J57" s="54"/>
      <c r="K57" s="108"/>
      <c r="L57" s="123"/>
      <c r="M57" s="108"/>
      <c r="N57" s="108"/>
      <c r="O57" s="118"/>
      <c r="P57" s="118"/>
      <c r="Q57" s="108"/>
      <c r="R57" s="99"/>
      <c r="S57" s="99"/>
      <c r="T57" s="99"/>
      <c r="U57" s="99"/>
    </row>
    <row r="58" spans="1:21" s="4" customFormat="1" ht="19.100000000000001" customHeight="1">
      <c r="A58" s="77"/>
      <c r="B58" s="77"/>
      <c r="C58" s="77"/>
      <c r="D58" s="64" t="s">
        <v>30</v>
      </c>
      <c r="E58" s="54">
        <v>1</v>
      </c>
      <c r="F58" s="54">
        <v>1</v>
      </c>
      <c r="G58" s="54">
        <v>1</v>
      </c>
      <c r="H58" s="54">
        <v>1</v>
      </c>
      <c r="I58" s="54"/>
      <c r="J58" s="54"/>
      <c r="K58" s="108"/>
      <c r="L58" s="123"/>
      <c r="M58" s="108"/>
      <c r="N58" s="108"/>
      <c r="O58" s="118"/>
      <c r="P58" s="118"/>
      <c r="Q58" s="108"/>
      <c r="R58" s="99"/>
      <c r="S58" s="99"/>
      <c r="T58" s="99"/>
      <c r="U58" s="99"/>
    </row>
    <row r="59" spans="1:21" s="5" customFormat="1" ht="16.100000000000001" customHeight="1">
      <c r="A59" s="25" t="s">
        <v>40</v>
      </c>
      <c r="B59" s="84"/>
      <c r="C59" s="85"/>
      <c r="D59" s="85"/>
      <c r="E59" s="85"/>
      <c r="F59" s="85"/>
      <c r="G59" s="85"/>
      <c r="H59" s="85"/>
      <c r="I59" s="85"/>
      <c r="J59" s="85"/>
      <c r="K59" s="85"/>
      <c r="L59" s="86"/>
      <c r="M59" s="26">
        <f>SUM(M5:M58)</f>
        <v>104</v>
      </c>
      <c r="N59" s="26">
        <f>SUM(N5:N58)</f>
        <v>3739</v>
      </c>
      <c r="O59" s="87"/>
      <c r="P59" s="88"/>
      <c r="Q59" s="26">
        <f>SUM(Q5:Q58)</f>
        <v>1664</v>
      </c>
      <c r="R59" s="65"/>
      <c r="S59" s="66"/>
      <c r="T59" s="67"/>
      <c r="U59" s="26">
        <f>SUM(U5:U58)</f>
        <v>8.2368000000000006</v>
      </c>
    </row>
    <row r="60" spans="1:21">
      <c r="C60" s="30"/>
    </row>
    <row r="61" spans="1:21" ht="18.45">
      <c r="D61" s="31"/>
    </row>
  </sheetData>
  <mergeCells count="107">
    <mergeCell ref="A1:U1"/>
    <mergeCell ref="A2:U2"/>
    <mergeCell ref="R4:T4"/>
    <mergeCell ref="B59:L59"/>
    <mergeCell ref="O59:P59"/>
    <mergeCell ref="A5:A58"/>
    <mergeCell ref="B5:B58"/>
    <mergeCell ref="C5:C58"/>
    <mergeCell ref="K5:K10"/>
    <mergeCell ref="K11:K16"/>
    <mergeCell ref="K17:K22"/>
    <mergeCell ref="K23:K28"/>
    <mergeCell ref="K29:K34"/>
    <mergeCell ref="K35:K40"/>
    <mergeCell ref="K41:K46"/>
    <mergeCell ref="K47:K52"/>
    <mergeCell ref="K53:K58"/>
    <mergeCell ref="L5:L10"/>
    <mergeCell ref="L11:L16"/>
    <mergeCell ref="L17:L22"/>
    <mergeCell ref="L23:L28"/>
    <mergeCell ref="L29:L34"/>
    <mergeCell ref="L35:L40"/>
    <mergeCell ref="L41:L46"/>
    <mergeCell ref="L47:L52"/>
    <mergeCell ref="L53:L58"/>
    <mergeCell ref="M5:M10"/>
    <mergeCell ref="M11:M16"/>
    <mergeCell ref="M17:M22"/>
    <mergeCell ref="M23:M28"/>
    <mergeCell ref="M29:M34"/>
    <mergeCell ref="M35:M40"/>
    <mergeCell ref="M41:M46"/>
    <mergeCell ref="M47:M52"/>
    <mergeCell ref="M53:M58"/>
    <mergeCell ref="N5:N10"/>
    <mergeCell ref="N11:N16"/>
    <mergeCell ref="N17:N22"/>
    <mergeCell ref="N23:N28"/>
    <mergeCell ref="N29:N34"/>
    <mergeCell ref="N35:N40"/>
    <mergeCell ref="N41:N46"/>
    <mergeCell ref="N47:N52"/>
    <mergeCell ref="N53:N58"/>
    <mergeCell ref="O5:O10"/>
    <mergeCell ref="O11:O16"/>
    <mergeCell ref="O17:O22"/>
    <mergeCell ref="O23:O28"/>
    <mergeCell ref="O29:O34"/>
    <mergeCell ref="O35:O40"/>
    <mergeCell ref="O41:O46"/>
    <mergeCell ref="O47:O52"/>
    <mergeCell ref="O53:O58"/>
    <mergeCell ref="P5:P10"/>
    <mergeCell ref="P11:P16"/>
    <mergeCell ref="P17:P22"/>
    <mergeCell ref="P23:P28"/>
    <mergeCell ref="P29:P34"/>
    <mergeCell ref="P35:P40"/>
    <mergeCell ref="P41:P46"/>
    <mergeCell ref="P47:P52"/>
    <mergeCell ref="P53:P58"/>
    <mergeCell ref="Q5:Q10"/>
    <mergeCell ref="Q11:Q16"/>
    <mergeCell ref="Q17:Q22"/>
    <mergeCell ref="Q23:Q28"/>
    <mergeCell ref="Q29:Q34"/>
    <mergeCell ref="Q35:Q40"/>
    <mergeCell ref="Q41:Q46"/>
    <mergeCell ref="Q47:Q52"/>
    <mergeCell ref="Q53:Q58"/>
    <mergeCell ref="R5:R10"/>
    <mergeCell ref="R11:R16"/>
    <mergeCell ref="R17:R22"/>
    <mergeCell ref="R23:R28"/>
    <mergeCell ref="R29:R34"/>
    <mergeCell ref="R35:R40"/>
    <mergeCell ref="R41:R46"/>
    <mergeCell ref="R47:R52"/>
    <mergeCell ref="R53:R58"/>
    <mergeCell ref="S5:S10"/>
    <mergeCell ref="S11:S16"/>
    <mergeCell ref="S17:S22"/>
    <mergeCell ref="S23:S28"/>
    <mergeCell ref="S29:S34"/>
    <mergeCell ref="S35:S40"/>
    <mergeCell ref="S41:S46"/>
    <mergeCell ref="S47:S52"/>
    <mergeCell ref="S53:S58"/>
    <mergeCell ref="T5:T10"/>
    <mergeCell ref="T11:T16"/>
    <mergeCell ref="T17:T22"/>
    <mergeCell ref="T23:T28"/>
    <mergeCell ref="T29:T34"/>
    <mergeCell ref="T35:T40"/>
    <mergeCell ref="T41:T46"/>
    <mergeCell ref="T47:T52"/>
    <mergeCell ref="T53:T58"/>
    <mergeCell ref="U5:U10"/>
    <mergeCell ref="U11:U16"/>
    <mergeCell ref="U17:U22"/>
    <mergeCell ref="U23:U28"/>
    <mergeCell ref="U29:U34"/>
    <mergeCell ref="U35:U40"/>
    <mergeCell ref="U41:U46"/>
    <mergeCell ref="U47:U52"/>
    <mergeCell ref="U53:U58"/>
  </mergeCells>
  <pageMargins left="0.23611111111111099" right="0.196527777777778" top="0.31458333333333299" bottom="0.31458333333333299" header="0.31458333333333299" footer="0.31458333333333299"/>
  <pageSetup paperSize="9" scale="72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WQQ61"/>
  <sheetViews>
    <sheetView zoomScale="75" zoomScaleNormal="75" workbookViewId="0">
      <selection activeCell="C5" sqref="C5:C22"/>
    </sheetView>
  </sheetViews>
  <sheetFormatPr baseColWidth="10" defaultColWidth="9" defaultRowHeight="14.6"/>
  <cols>
    <col min="1" max="1" width="19.765625" style="1" customWidth="1"/>
    <col min="2" max="2" width="12" style="1" customWidth="1"/>
    <col min="3" max="3" width="13.07421875" style="1" customWidth="1"/>
    <col min="4" max="4" width="18.69140625" style="6" customWidth="1"/>
    <col min="5" max="10" width="6" style="1" customWidth="1"/>
    <col min="11" max="11" width="9.07421875" style="1" customWidth="1"/>
    <col min="12" max="12" width="29.4609375" style="1" customWidth="1"/>
    <col min="13" max="13" width="7" style="1" customWidth="1"/>
    <col min="14" max="14" width="9.3046875" style="1" customWidth="1"/>
    <col min="15" max="16" width="7.07421875" style="7" customWidth="1"/>
    <col min="17" max="17" width="9.3046875" style="1" customWidth="1"/>
    <col min="18" max="20" width="6.69140625" style="1" customWidth="1"/>
    <col min="21" max="21" width="12" style="1" customWidth="1"/>
    <col min="22" max="114" width="8.69140625" style="1"/>
    <col min="115" max="115" width="9" style="1" customWidth="1"/>
    <col min="116" max="116" width="12.69140625" style="1" customWidth="1"/>
    <col min="117" max="117" width="12.07421875" style="1" customWidth="1"/>
    <col min="118" max="118" width="6.4609375" style="1" customWidth="1"/>
    <col min="119" max="119" width="5.4609375" style="1" customWidth="1"/>
    <col min="120" max="120" width="9.3046875" style="1" customWidth="1"/>
    <col min="121" max="125" width="4.765625" style="1" customWidth="1"/>
    <col min="126" max="126" width="6.765625" style="1" customWidth="1"/>
    <col min="127" max="127" width="9.3046875" style="1" customWidth="1"/>
    <col min="128" max="128" width="9.4609375" style="1" customWidth="1"/>
    <col min="129" max="129" width="5.765625" style="1" customWidth="1"/>
    <col min="130" max="130" width="6.23046875" style="1" customWidth="1"/>
    <col min="131" max="131" width="9" style="1" customWidth="1"/>
    <col min="132" max="132" width="13.3046875" style="1" customWidth="1"/>
    <col min="133" max="133" width="9.765625" style="1" customWidth="1"/>
    <col min="134" max="135" width="9" style="1" hidden="1" customWidth="1"/>
    <col min="136" max="370" width="8.69140625" style="1"/>
    <col min="371" max="371" width="9" style="1" customWidth="1"/>
    <col min="372" max="372" width="12.69140625" style="1" customWidth="1"/>
    <col min="373" max="373" width="12.07421875" style="1" customWidth="1"/>
    <col min="374" max="374" width="6.4609375" style="1" customWidth="1"/>
    <col min="375" max="375" width="5.4609375" style="1" customWidth="1"/>
    <col min="376" max="376" width="9.3046875" style="1" customWidth="1"/>
    <col min="377" max="381" width="4.765625" style="1" customWidth="1"/>
    <col min="382" max="382" width="6.765625" style="1" customWidth="1"/>
    <col min="383" max="383" width="9.3046875" style="1" customWidth="1"/>
    <col min="384" max="384" width="9.4609375" style="1" customWidth="1"/>
    <col min="385" max="385" width="5.765625" style="1" customWidth="1"/>
    <col min="386" max="386" width="6.23046875" style="1" customWidth="1"/>
    <col min="387" max="387" width="9" style="1" customWidth="1"/>
    <col min="388" max="388" width="13.3046875" style="1" customWidth="1"/>
    <col min="389" max="389" width="9.765625" style="1" customWidth="1"/>
    <col min="390" max="391" width="9" style="1" hidden="1" customWidth="1"/>
    <col min="392" max="626" width="8.69140625" style="1"/>
    <col min="627" max="627" width="9" style="1" customWidth="1"/>
    <col min="628" max="628" width="12.69140625" style="1" customWidth="1"/>
    <col min="629" max="629" width="12.07421875" style="1" customWidth="1"/>
    <col min="630" max="630" width="6.4609375" style="1" customWidth="1"/>
    <col min="631" max="631" width="5.4609375" style="1" customWidth="1"/>
    <col min="632" max="632" width="9.3046875" style="1" customWidth="1"/>
    <col min="633" max="637" width="4.765625" style="1" customWidth="1"/>
    <col min="638" max="638" width="6.765625" style="1" customWidth="1"/>
    <col min="639" max="639" width="9.3046875" style="1" customWidth="1"/>
    <col min="640" max="640" width="9.4609375" style="1" customWidth="1"/>
    <col min="641" max="641" width="5.765625" style="1" customWidth="1"/>
    <col min="642" max="642" width="6.23046875" style="1" customWidth="1"/>
    <col min="643" max="643" width="9" style="1" customWidth="1"/>
    <col min="644" max="644" width="13.3046875" style="1" customWidth="1"/>
    <col min="645" max="645" width="9.765625" style="1" customWidth="1"/>
    <col min="646" max="647" width="9" style="1" hidden="1" customWidth="1"/>
    <col min="648" max="882" width="8.69140625" style="1"/>
    <col min="883" max="883" width="9" style="1" customWidth="1"/>
    <col min="884" max="884" width="12.69140625" style="1" customWidth="1"/>
    <col min="885" max="885" width="12.07421875" style="1" customWidth="1"/>
    <col min="886" max="886" width="6.4609375" style="1" customWidth="1"/>
    <col min="887" max="887" width="5.4609375" style="1" customWidth="1"/>
    <col min="888" max="888" width="9.3046875" style="1" customWidth="1"/>
    <col min="889" max="893" width="4.765625" style="1" customWidth="1"/>
    <col min="894" max="894" width="6.765625" style="1" customWidth="1"/>
    <col min="895" max="895" width="9.3046875" style="1" customWidth="1"/>
    <col min="896" max="896" width="9.4609375" style="1" customWidth="1"/>
    <col min="897" max="897" width="5.765625" style="1" customWidth="1"/>
    <col min="898" max="898" width="6.23046875" style="1" customWidth="1"/>
    <col min="899" max="899" width="9" style="1" customWidth="1"/>
    <col min="900" max="900" width="13.3046875" style="1" customWidth="1"/>
    <col min="901" max="901" width="9.765625" style="1" customWidth="1"/>
    <col min="902" max="903" width="9" style="1" hidden="1" customWidth="1"/>
    <col min="904" max="1138" width="8.69140625" style="1"/>
    <col min="1139" max="1139" width="9" style="1" customWidth="1"/>
    <col min="1140" max="1140" width="12.69140625" style="1" customWidth="1"/>
    <col min="1141" max="1141" width="12.07421875" style="1" customWidth="1"/>
    <col min="1142" max="1142" width="6.4609375" style="1" customWidth="1"/>
    <col min="1143" max="1143" width="5.4609375" style="1" customWidth="1"/>
    <col min="1144" max="1144" width="9.3046875" style="1" customWidth="1"/>
    <col min="1145" max="1149" width="4.765625" style="1" customWidth="1"/>
    <col min="1150" max="1150" width="6.765625" style="1" customWidth="1"/>
    <col min="1151" max="1151" width="9.3046875" style="1" customWidth="1"/>
    <col min="1152" max="1152" width="9.4609375" style="1" customWidth="1"/>
    <col min="1153" max="1153" width="5.765625" style="1" customWidth="1"/>
    <col min="1154" max="1154" width="6.23046875" style="1" customWidth="1"/>
    <col min="1155" max="1155" width="9" style="1" customWidth="1"/>
    <col min="1156" max="1156" width="13.3046875" style="1" customWidth="1"/>
    <col min="1157" max="1157" width="9.765625" style="1" customWidth="1"/>
    <col min="1158" max="1159" width="9" style="1" hidden="1" customWidth="1"/>
    <col min="1160" max="1394" width="8.69140625" style="1"/>
    <col min="1395" max="1395" width="9" style="1" customWidth="1"/>
    <col min="1396" max="1396" width="12.69140625" style="1" customWidth="1"/>
    <col min="1397" max="1397" width="12.07421875" style="1" customWidth="1"/>
    <col min="1398" max="1398" width="6.4609375" style="1" customWidth="1"/>
    <col min="1399" max="1399" width="5.4609375" style="1" customWidth="1"/>
    <col min="1400" max="1400" width="9.3046875" style="1" customWidth="1"/>
    <col min="1401" max="1405" width="4.765625" style="1" customWidth="1"/>
    <col min="1406" max="1406" width="6.765625" style="1" customWidth="1"/>
    <col min="1407" max="1407" width="9.3046875" style="1" customWidth="1"/>
    <col min="1408" max="1408" width="9.4609375" style="1" customWidth="1"/>
    <col min="1409" max="1409" width="5.765625" style="1" customWidth="1"/>
    <col min="1410" max="1410" width="6.23046875" style="1" customWidth="1"/>
    <col min="1411" max="1411" width="9" style="1" customWidth="1"/>
    <col min="1412" max="1412" width="13.3046875" style="1" customWidth="1"/>
    <col min="1413" max="1413" width="9.765625" style="1" customWidth="1"/>
    <col min="1414" max="1415" width="9" style="1" hidden="1" customWidth="1"/>
    <col min="1416" max="1650" width="8.69140625" style="1"/>
    <col min="1651" max="1651" width="9" style="1" customWidth="1"/>
    <col min="1652" max="1652" width="12.69140625" style="1" customWidth="1"/>
    <col min="1653" max="1653" width="12.07421875" style="1" customWidth="1"/>
    <col min="1654" max="1654" width="6.4609375" style="1" customWidth="1"/>
    <col min="1655" max="1655" width="5.4609375" style="1" customWidth="1"/>
    <col min="1656" max="1656" width="9.3046875" style="1" customWidth="1"/>
    <col min="1657" max="1661" width="4.765625" style="1" customWidth="1"/>
    <col min="1662" max="1662" width="6.765625" style="1" customWidth="1"/>
    <col min="1663" max="1663" width="9.3046875" style="1" customWidth="1"/>
    <col min="1664" max="1664" width="9.4609375" style="1" customWidth="1"/>
    <col min="1665" max="1665" width="5.765625" style="1" customWidth="1"/>
    <col min="1666" max="1666" width="6.23046875" style="1" customWidth="1"/>
    <col min="1667" max="1667" width="9" style="1" customWidth="1"/>
    <col min="1668" max="1668" width="13.3046875" style="1" customWidth="1"/>
    <col min="1669" max="1669" width="9.765625" style="1" customWidth="1"/>
    <col min="1670" max="1671" width="9" style="1" hidden="1" customWidth="1"/>
    <col min="1672" max="1906" width="8.69140625" style="1"/>
    <col min="1907" max="1907" width="9" style="1" customWidth="1"/>
    <col min="1908" max="1908" width="12.69140625" style="1" customWidth="1"/>
    <col min="1909" max="1909" width="12.07421875" style="1" customWidth="1"/>
    <col min="1910" max="1910" width="6.4609375" style="1" customWidth="1"/>
    <col min="1911" max="1911" width="5.4609375" style="1" customWidth="1"/>
    <col min="1912" max="1912" width="9.3046875" style="1" customWidth="1"/>
    <col min="1913" max="1917" width="4.765625" style="1" customWidth="1"/>
    <col min="1918" max="1918" width="6.765625" style="1" customWidth="1"/>
    <col min="1919" max="1919" width="9.3046875" style="1" customWidth="1"/>
    <col min="1920" max="1920" width="9.4609375" style="1" customWidth="1"/>
    <col min="1921" max="1921" width="5.765625" style="1" customWidth="1"/>
    <col min="1922" max="1922" width="6.23046875" style="1" customWidth="1"/>
    <col min="1923" max="1923" width="9" style="1" customWidth="1"/>
    <col min="1924" max="1924" width="13.3046875" style="1" customWidth="1"/>
    <col min="1925" max="1925" width="9.765625" style="1" customWidth="1"/>
    <col min="1926" max="1927" width="9" style="1" hidden="1" customWidth="1"/>
    <col min="1928" max="2162" width="8.69140625" style="1"/>
    <col min="2163" max="2163" width="9" style="1" customWidth="1"/>
    <col min="2164" max="2164" width="12.69140625" style="1" customWidth="1"/>
    <col min="2165" max="2165" width="12.07421875" style="1" customWidth="1"/>
    <col min="2166" max="2166" width="6.4609375" style="1" customWidth="1"/>
    <col min="2167" max="2167" width="5.4609375" style="1" customWidth="1"/>
    <col min="2168" max="2168" width="9.3046875" style="1" customWidth="1"/>
    <col min="2169" max="2173" width="4.765625" style="1" customWidth="1"/>
    <col min="2174" max="2174" width="6.765625" style="1" customWidth="1"/>
    <col min="2175" max="2175" width="9.3046875" style="1" customWidth="1"/>
    <col min="2176" max="2176" width="9.4609375" style="1" customWidth="1"/>
    <col min="2177" max="2177" width="5.765625" style="1" customWidth="1"/>
    <col min="2178" max="2178" width="6.23046875" style="1" customWidth="1"/>
    <col min="2179" max="2179" width="9" style="1" customWidth="1"/>
    <col min="2180" max="2180" width="13.3046875" style="1" customWidth="1"/>
    <col min="2181" max="2181" width="9.765625" style="1" customWidth="1"/>
    <col min="2182" max="2183" width="9" style="1" hidden="1" customWidth="1"/>
    <col min="2184" max="2418" width="8.69140625" style="1"/>
    <col min="2419" max="2419" width="9" style="1" customWidth="1"/>
    <col min="2420" max="2420" width="12.69140625" style="1" customWidth="1"/>
    <col min="2421" max="2421" width="12.07421875" style="1" customWidth="1"/>
    <col min="2422" max="2422" width="6.4609375" style="1" customWidth="1"/>
    <col min="2423" max="2423" width="5.4609375" style="1" customWidth="1"/>
    <col min="2424" max="2424" width="9.3046875" style="1" customWidth="1"/>
    <col min="2425" max="2429" width="4.765625" style="1" customWidth="1"/>
    <col min="2430" max="2430" width="6.765625" style="1" customWidth="1"/>
    <col min="2431" max="2431" width="9.3046875" style="1" customWidth="1"/>
    <col min="2432" max="2432" width="9.4609375" style="1" customWidth="1"/>
    <col min="2433" max="2433" width="5.765625" style="1" customWidth="1"/>
    <col min="2434" max="2434" width="6.23046875" style="1" customWidth="1"/>
    <col min="2435" max="2435" width="9" style="1" customWidth="1"/>
    <col min="2436" max="2436" width="13.3046875" style="1" customWidth="1"/>
    <col min="2437" max="2437" width="9.765625" style="1" customWidth="1"/>
    <col min="2438" max="2439" width="9" style="1" hidden="1" customWidth="1"/>
    <col min="2440" max="2674" width="8.69140625" style="1"/>
    <col min="2675" max="2675" width="9" style="1" customWidth="1"/>
    <col min="2676" max="2676" width="12.69140625" style="1" customWidth="1"/>
    <col min="2677" max="2677" width="12.07421875" style="1" customWidth="1"/>
    <col min="2678" max="2678" width="6.4609375" style="1" customWidth="1"/>
    <col min="2679" max="2679" width="5.4609375" style="1" customWidth="1"/>
    <col min="2680" max="2680" width="9.3046875" style="1" customWidth="1"/>
    <col min="2681" max="2685" width="4.765625" style="1" customWidth="1"/>
    <col min="2686" max="2686" width="6.765625" style="1" customWidth="1"/>
    <col min="2687" max="2687" width="9.3046875" style="1" customWidth="1"/>
    <col min="2688" max="2688" width="9.4609375" style="1" customWidth="1"/>
    <col min="2689" max="2689" width="5.765625" style="1" customWidth="1"/>
    <col min="2690" max="2690" width="6.23046875" style="1" customWidth="1"/>
    <col min="2691" max="2691" width="9" style="1" customWidth="1"/>
    <col min="2692" max="2692" width="13.3046875" style="1" customWidth="1"/>
    <col min="2693" max="2693" width="9.765625" style="1" customWidth="1"/>
    <col min="2694" max="2695" width="9" style="1" hidden="1" customWidth="1"/>
    <col min="2696" max="2930" width="8.69140625" style="1"/>
    <col min="2931" max="2931" width="9" style="1" customWidth="1"/>
    <col min="2932" max="2932" width="12.69140625" style="1" customWidth="1"/>
    <col min="2933" max="2933" width="12.07421875" style="1" customWidth="1"/>
    <col min="2934" max="2934" width="6.4609375" style="1" customWidth="1"/>
    <col min="2935" max="2935" width="5.4609375" style="1" customWidth="1"/>
    <col min="2936" max="2936" width="9.3046875" style="1" customWidth="1"/>
    <col min="2937" max="2941" width="4.765625" style="1" customWidth="1"/>
    <col min="2942" max="2942" width="6.765625" style="1" customWidth="1"/>
    <col min="2943" max="2943" width="9.3046875" style="1" customWidth="1"/>
    <col min="2944" max="2944" width="9.4609375" style="1" customWidth="1"/>
    <col min="2945" max="2945" width="5.765625" style="1" customWidth="1"/>
    <col min="2946" max="2946" width="6.23046875" style="1" customWidth="1"/>
    <col min="2947" max="2947" width="9" style="1" customWidth="1"/>
    <col min="2948" max="2948" width="13.3046875" style="1" customWidth="1"/>
    <col min="2949" max="2949" width="9.765625" style="1" customWidth="1"/>
    <col min="2950" max="2951" width="9" style="1" hidden="1" customWidth="1"/>
    <col min="2952" max="3186" width="8.69140625" style="1"/>
    <col min="3187" max="3187" width="9" style="1" customWidth="1"/>
    <col min="3188" max="3188" width="12.69140625" style="1" customWidth="1"/>
    <col min="3189" max="3189" width="12.07421875" style="1" customWidth="1"/>
    <col min="3190" max="3190" width="6.4609375" style="1" customWidth="1"/>
    <col min="3191" max="3191" width="5.4609375" style="1" customWidth="1"/>
    <col min="3192" max="3192" width="9.3046875" style="1" customWidth="1"/>
    <col min="3193" max="3197" width="4.765625" style="1" customWidth="1"/>
    <col min="3198" max="3198" width="6.765625" style="1" customWidth="1"/>
    <col min="3199" max="3199" width="9.3046875" style="1" customWidth="1"/>
    <col min="3200" max="3200" width="9.4609375" style="1" customWidth="1"/>
    <col min="3201" max="3201" width="5.765625" style="1" customWidth="1"/>
    <col min="3202" max="3202" width="6.23046875" style="1" customWidth="1"/>
    <col min="3203" max="3203" width="9" style="1" customWidth="1"/>
    <col min="3204" max="3204" width="13.3046875" style="1" customWidth="1"/>
    <col min="3205" max="3205" width="9.765625" style="1" customWidth="1"/>
    <col min="3206" max="3207" width="9" style="1" hidden="1" customWidth="1"/>
    <col min="3208" max="3442" width="8.69140625" style="1"/>
    <col min="3443" max="3443" width="9" style="1" customWidth="1"/>
    <col min="3444" max="3444" width="12.69140625" style="1" customWidth="1"/>
    <col min="3445" max="3445" width="12.07421875" style="1" customWidth="1"/>
    <col min="3446" max="3446" width="6.4609375" style="1" customWidth="1"/>
    <col min="3447" max="3447" width="5.4609375" style="1" customWidth="1"/>
    <col min="3448" max="3448" width="9.3046875" style="1" customWidth="1"/>
    <col min="3449" max="3453" width="4.765625" style="1" customWidth="1"/>
    <col min="3454" max="3454" width="6.765625" style="1" customWidth="1"/>
    <col min="3455" max="3455" width="9.3046875" style="1" customWidth="1"/>
    <col min="3456" max="3456" width="9.4609375" style="1" customWidth="1"/>
    <col min="3457" max="3457" width="5.765625" style="1" customWidth="1"/>
    <col min="3458" max="3458" width="6.23046875" style="1" customWidth="1"/>
    <col min="3459" max="3459" width="9" style="1" customWidth="1"/>
    <col min="3460" max="3460" width="13.3046875" style="1" customWidth="1"/>
    <col min="3461" max="3461" width="9.765625" style="1" customWidth="1"/>
    <col min="3462" max="3463" width="9" style="1" hidden="1" customWidth="1"/>
    <col min="3464" max="3698" width="8.69140625" style="1"/>
    <col min="3699" max="3699" width="9" style="1" customWidth="1"/>
    <col min="3700" max="3700" width="12.69140625" style="1" customWidth="1"/>
    <col min="3701" max="3701" width="12.07421875" style="1" customWidth="1"/>
    <col min="3702" max="3702" width="6.4609375" style="1" customWidth="1"/>
    <col min="3703" max="3703" width="5.4609375" style="1" customWidth="1"/>
    <col min="3704" max="3704" width="9.3046875" style="1" customWidth="1"/>
    <col min="3705" max="3709" width="4.765625" style="1" customWidth="1"/>
    <col min="3710" max="3710" width="6.765625" style="1" customWidth="1"/>
    <col min="3711" max="3711" width="9.3046875" style="1" customWidth="1"/>
    <col min="3712" max="3712" width="9.4609375" style="1" customWidth="1"/>
    <col min="3713" max="3713" width="5.765625" style="1" customWidth="1"/>
    <col min="3714" max="3714" width="6.23046875" style="1" customWidth="1"/>
    <col min="3715" max="3715" width="9" style="1" customWidth="1"/>
    <col min="3716" max="3716" width="13.3046875" style="1" customWidth="1"/>
    <col min="3717" max="3717" width="9.765625" style="1" customWidth="1"/>
    <col min="3718" max="3719" width="9" style="1" hidden="1" customWidth="1"/>
    <col min="3720" max="3954" width="8.69140625" style="1"/>
    <col min="3955" max="3955" width="9" style="1" customWidth="1"/>
    <col min="3956" max="3956" width="12.69140625" style="1" customWidth="1"/>
    <col min="3957" max="3957" width="12.07421875" style="1" customWidth="1"/>
    <col min="3958" max="3958" width="6.4609375" style="1" customWidth="1"/>
    <col min="3959" max="3959" width="5.4609375" style="1" customWidth="1"/>
    <col min="3960" max="3960" width="9.3046875" style="1" customWidth="1"/>
    <col min="3961" max="3965" width="4.765625" style="1" customWidth="1"/>
    <col min="3966" max="3966" width="6.765625" style="1" customWidth="1"/>
    <col min="3967" max="3967" width="9.3046875" style="1" customWidth="1"/>
    <col min="3968" max="3968" width="9.4609375" style="1" customWidth="1"/>
    <col min="3969" max="3969" width="5.765625" style="1" customWidth="1"/>
    <col min="3970" max="3970" width="6.23046875" style="1" customWidth="1"/>
    <col min="3971" max="3971" width="9" style="1" customWidth="1"/>
    <col min="3972" max="3972" width="13.3046875" style="1" customWidth="1"/>
    <col min="3973" max="3973" width="9.765625" style="1" customWidth="1"/>
    <col min="3974" max="3975" width="9" style="1" hidden="1" customWidth="1"/>
    <col min="3976" max="4210" width="8.69140625" style="1"/>
    <col min="4211" max="4211" width="9" style="1" customWidth="1"/>
    <col min="4212" max="4212" width="12.69140625" style="1" customWidth="1"/>
    <col min="4213" max="4213" width="12.07421875" style="1" customWidth="1"/>
    <col min="4214" max="4214" width="6.4609375" style="1" customWidth="1"/>
    <col min="4215" max="4215" width="5.4609375" style="1" customWidth="1"/>
    <col min="4216" max="4216" width="9.3046875" style="1" customWidth="1"/>
    <col min="4217" max="4221" width="4.765625" style="1" customWidth="1"/>
    <col min="4222" max="4222" width="6.765625" style="1" customWidth="1"/>
    <col min="4223" max="4223" width="9.3046875" style="1" customWidth="1"/>
    <col min="4224" max="4224" width="9.4609375" style="1" customWidth="1"/>
    <col min="4225" max="4225" width="5.765625" style="1" customWidth="1"/>
    <col min="4226" max="4226" width="6.23046875" style="1" customWidth="1"/>
    <col min="4227" max="4227" width="9" style="1" customWidth="1"/>
    <col min="4228" max="4228" width="13.3046875" style="1" customWidth="1"/>
    <col min="4229" max="4229" width="9.765625" style="1" customWidth="1"/>
    <col min="4230" max="4231" width="9" style="1" hidden="1" customWidth="1"/>
    <col min="4232" max="4466" width="8.69140625" style="1"/>
    <col min="4467" max="4467" width="9" style="1" customWidth="1"/>
    <col min="4468" max="4468" width="12.69140625" style="1" customWidth="1"/>
    <col min="4469" max="4469" width="12.07421875" style="1" customWidth="1"/>
    <col min="4470" max="4470" width="6.4609375" style="1" customWidth="1"/>
    <col min="4471" max="4471" width="5.4609375" style="1" customWidth="1"/>
    <col min="4472" max="4472" width="9.3046875" style="1" customWidth="1"/>
    <col min="4473" max="4477" width="4.765625" style="1" customWidth="1"/>
    <col min="4478" max="4478" width="6.765625" style="1" customWidth="1"/>
    <col min="4479" max="4479" width="9.3046875" style="1" customWidth="1"/>
    <col min="4480" max="4480" width="9.4609375" style="1" customWidth="1"/>
    <col min="4481" max="4481" width="5.765625" style="1" customWidth="1"/>
    <col min="4482" max="4482" width="6.23046875" style="1" customWidth="1"/>
    <col min="4483" max="4483" width="9" style="1" customWidth="1"/>
    <col min="4484" max="4484" width="13.3046875" style="1" customWidth="1"/>
    <col min="4485" max="4485" width="9.765625" style="1" customWidth="1"/>
    <col min="4486" max="4487" width="9" style="1" hidden="1" customWidth="1"/>
    <col min="4488" max="4722" width="8.69140625" style="1"/>
    <col min="4723" max="4723" width="9" style="1" customWidth="1"/>
    <col min="4724" max="4724" width="12.69140625" style="1" customWidth="1"/>
    <col min="4725" max="4725" width="12.07421875" style="1" customWidth="1"/>
    <col min="4726" max="4726" width="6.4609375" style="1" customWidth="1"/>
    <col min="4727" max="4727" width="5.4609375" style="1" customWidth="1"/>
    <col min="4728" max="4728" width="9.3046875" style="1" customWidth="1"/>
    <col min="4729" max="4733" width="4.765625" style="1" customWidth="1"/>
    <col min="4734" max="4734" width="6.765625" style="1" customWidth="1"/>
    <col min="4735" max="4735" width="9.3046875" style="1" customWidth="1"/>
    <col min="4736" max="4736" width="9.4609375" style="1" customWidth="1"/>
    <col min="4737" max="4737" width="5.765625" style="1" customWidth="1"/>
    <col min="4738" max="4738" width="6.23046875" style="1" customWidth="1"/>
    <col min="4739" max="4739" width="9" style="1" customWidth="1"/>
    <col min="4740" max="4740" width="13.3046875" style="1" customWidth="1"/>
    <col min="4741" max="4741" width="9.765625" style="1" customWidth="1"/>
    <col min="4742" max="4743" width="9" style="1" hidden="1" customWidth="1"/>
    <col min="4744" max="4978" width="8.69140625" style="1"/>
    <col min="4979" max="4979" width="9" style="1" customWidth="1"/>
    <col min="4980" max="4980" width="12.69140625" style="1" customWidth="1"/>
    <col min="4981" max="4981" width="12.07421875" style="1" customWidth="1"/>
    <col min="4982" max="4982" width="6.4609375" style="1" customWidth="1"/>
    <col min="4983" max="4983" width="5.4609375" style="1" customWidth="1"/>
    <col min="4984" max="4984" width="9.3046875" style="1" customWidth="1"/>
    <col min="4985" max="4989" width="4.765625" style="1" customWidth="1"/>
    <col min="4990" max="4990" width="6.765625" style="1" customWidth="1"/>
    <col min="4991" max="4991" width="9.3046875" style="1" customWidth="1"/>
    <col min="4992" max="4992" width="9.4609375" style="1" customWidth="1"/>
    <col min="4993" max="4993" width="5.765625" style="1" customWidth="1"/>
    <col min="4994" max="4994" width="6.23046875" style="1" customWidth="1"/>
    <col min="4995" max="4995" width="9" style="1" customWidth="1"/>
    <col min="4996" max="4996" width="13.3046875" style="1" customWidth="1"/>
    <col min="4997" max="4997" width="9.765625" style="1" customWidth="1"/>
    <col min="4998" max="4999" width="9" style="1" hidden="1" customWidth="1"/>
    <col min="5000" max="5234" width="8.69140625" style="1"/>
    <col min="5235" max="5235" width="9" style="1" customWidth="1"/>
    <col min="5236" max="5236" width="12.69140625" style="1" customWidth="1"/>
    <col min="5237" max="5237" width="12.07421875" style="1" customWidth="1"/>
    <col min="5238" max="5238" width="6.4609375" style="1" customWidth="1"/>
    <col min="5239" max="5239" width="5.4609375" style="1" customWidth="1"/>
    <col min="5240" max="5240" width="9.3046875" style="1" customWidth="1"/>
    <col min="5241" max="5245" width="4.765625" style="1" customWidth="1"/>
    <col min="5246" max="5246" width="6.765625" style="1" customWidth="1"/>
    <col min="5247" max="5247" width="9.3046875" style="1" customWidth="1"/>
    <col min="5248" max="5248" width="9.4609375" style="1" customWidth="1"/>
    <col min="5249" max="5249" width="5.765625" style="1" customWidth="1"/>
    <col min="5250" max="5250" width="6.23046875" style="1" customWidth="1"/>
    <col min="5251" max="5251" width="9" style="1" customWidth="1"/>
    <col min="5252" max="5252" width="13.3046875" style="1" customWidth="1"/>
    <col min="5253" max="5253" width="9.765625" style="1" customWidth="1"/>
    <col min="5254" max="5255" width="9" style="1" hidden="1" customWidth="1"/>
    <col min="5256" max="5490" width="8.69140625" style="1"/>
    <col min="5491" max="5491" width="9" style="1" customWidth="1"/>
    <col min="5492" max="5492" width="12.69140625" style="1" customWidth="1"/>
    <col min="5493" max="5493" width="12.07421875" style="1" customWidth="1"/>
    <col min="5494" max="5494" width="6.4609375" style="1" customWidth="1"/>
    <col min="5495" max="5495" width="5.4609375" style="1" customWidth="1"/>
    <col min="5496" max="5496" width="9.3046875" style="1" customWidth="1"/>
    <col min="5497" max="5501" width="4.765625" style="1" customWidth="1"/>
    <col min="5502" max="5502" width="6.765625" style="1" customWidth="1"/>
    <col min="5503" max="5503" width="9.3046875" style="1" customWidth="1"/>
    <col min="5504" max="5504" width="9.4609375" style="1" customWidth="1"/>
    <col min="5505" max="5505" width="5.765625" style="1" customWidth="1"/>
    <col min="5506" max="5506" width="6.23046875" style="1" customWidth="1"/>
    <col min="5507" max="5507" width="9" style="1" customWidth="1"/>
    <col min="5508" max="5508" width="13.3046875" style="1" customWidth="1"/>
    <col min="5509" max="5509" width="9.765625" style="1" customWidth="1"/>
    <col min="5510" max="5511" width="9" style="1" hidden="1" customWidth="1"/>
    <col min="5512" max="5746" width="8.69140625" style="1"/>
    <col min="5747" max="5747" width="9" style="1" customWidth="1"/>
    <col min="5748" max="5748" width="12.69140625" style="1" customWidth="1"/>
    <col min="5749" max="5749" width="12.07421875" style="1" customWidth="1"/>
    <col min="5750" max="5750" width="6.4609375" style="1" customWidth="1"/>
    <col min="5751" max="5751" width="5.4609375" style="1" customWidth="1"/>
    <col min="5752" max="5752" width="9.3046875" style="1" customWidth="1"/>
    <col min="5753" max="5757" width="4.765625" style="1" customWidth="1"/>
    <col min="5758" max="5758" width="6.765625" style="1" customWidth="1"/>
    <col min="5759" max="5759" width="9.3046875" style="1" customWidth="1"/>
    <col min="5760" max="5760" width="9.4609375" style="1" customWidth="1"/>
    <col min="5761" max="5761" width="5.765625" style="1" customWidth="1"/>
    <col min="5762" max="5762" width="6.23046875" style="1" customWidth="1"/>
    <col min="5763" max="5763" width="9" style="1" customWidth="1"/>
    <col min="5764" max="5764" width="13.3046875" style="1" customWidth="1"/>
    <col min="5765" max="5765" width="9.765625" style="1" customWidth="1"/>
    <col min="5766" max="5767" width="9" style="1" hidden="1" customWidth="1"/>
    <col min="5768" max="6002" width="8.69140625" style="1"/>
    <col min="6003" max="6003" width="9" style="1" customWidth="1"/>
    <col min="6004" max="6004" width="12.69140625" style="1" customWidth="1"/>
    <col min="6005" max="6005" width="12.07421875" style="1" customWidth="1"/>
    <col min="6006" max="6006" width="6.4609375" style="1" customWidth="1"/>
    <col min="6007" max="6007" width="5.4609375" style="1" customWidth="1"/>
    <col min="6008" max="6008" width="9.3046875" style="1" customWidth="1"/>
    <col min="6009" max="6013" width="4.765625" style="1" customWidth="1"/>
    <col min="6014" max="6014" width="6.765625" style="1" customWidth="1"/>
    <col min="6015" max="6015" width="9.3046875" style="1" customWidth="1"/>
    <col min="6016" max="6016" width="9.4609375" style="1" customWidth="1"/>
    <col min="6017" max="6017" width="5.765625" style="1" customWidth="1"/>
    <col min="6018" max="6018" width="6.23046875" style="1" customWidth="1"/>
    <col min="6019" max="6019" width="9" style="1" customWidth="1"/>
    <col min="6020" max="6020" width="13.3046875" style="1" customWidth="1"/>
    <col min="6021" max="6021" width="9.765625" style="1" customWidth="1"/>
    <col min="6022" max="6023" width="9" style="1" hidden="1" customWidth="1"/>
    <col min="6024" max="6258" width="8.69140625" style="1"/>
    <col min="6259" max="6259" width="9" style="1" customWidth="1"/>
    <col min="6260" max="6260" width="12.69140625" style="1" customWidth="1"/>
    <col min="6261" max="6261" width="12.07421875" style="1" customWidth="1"/>
    <col min="6262" max="6262" width="6.4609375" style="1" customWidth="1"/>
    <col min="6263" max="6263" width="5.4609375" style="1" customWidth="1"/>
    <col min="6264" max="6264" width="9.3046875" style="1" customWidth="1"/>
    <col min="6265" max="6269" width="4.765625" style="1" customWidth="1"/>
    <col min="6270" max="6270" width="6.765625" style="1" customWidth="1"/>
    <col min="6271" max="6271" width="9.3046875" style="1" customWidth="1"/>
    <col min="6272" max="6272" width="9.4609375" style="1" customWidth="1"/>
    <col min="6273" max="6273" width="5.765625" style="1" customWidth="1"/>
    <col min="6274" max="6274" width="6.23046875" style="1" customWidth="1"/>
    <col min="6275" max="6275" width="9" style="1" customWidth="1"/>
    <col min="6276" max="6276" width="13.3046875" style="1" customWidth="1"/>
    <col min="6277" max="6277" width="9.765625" style="1" customWidth="1"/>
    <col min="6278" max="6279" width="9" style="1" hidden="1" customWidth="1"/>
    <col min="6280" max="6514" width="8.69140625" style="1"/>
    <col min="6515" max="6515" width="9" style="1" customWidth="1"/>
    <col min="6516" max="6516" width="12.69140625" style="1" customWidth="1"/>
    <col min="6517" max="6517" width="12.07421875" style="1" customWidth="1"/>
    <col min="6518" max="6518" width="6.4609375" style="1" customWidth="1"/>
    <col min="6519" max="6519" width="5.4609375" style="1" customWidth="1"/>
    <col min="6520" max="6520" width="9.3046875" style="1" customWidth="1"/>
    <col min="6521" max="6525" width="4.765625" style="1" customWidth="1"/>
    <col min="6526" max="6526" width="6.765625" style="1" customWidth="1"/>
    <col min="6527" max="6527" width="9.3046875" style="1" customWidth="1"/>
    <col min="6528" max="6528" width="9.4609375" style="1" customWidth="1"/>
    <col min="6529" max="6529" width="5.765625" style="1" customWidth="1"/>
    <col min="6530" max="6530" width="6.23046875" style="1" customWidth="1"/>
    <col min="6531" max="6531" width="9" style="1" customWidth="1"/>
    <col min="6532" max="6532" width="13.3046875" style="1" customWidth="1"/>
    <col min="6533" max="6533" width="9.765625" style="1" customWidth="1"/>
    <col min="6534" max="6535" width="9" style="1" hidden="1" customWidth="1"/>
    <col min="6536" max="6770" width="8.69140625" style="1"/>
    <col min="6771" max="6771" width="9" style="1" customWidth="1"/>
    <col min="6772" max="6772" width="12.69140625" style="1" customWidth="1"/>
    <col min="6773" max="6773" width="12.07421875" style="1" customWidth="1"/>
    <col min="6774" max="6774" width="6.4609375" style="1" customWidth="1"/>
    <col min="6775" max="6775" width="5.4609375" style="1" customWidth="1"/>
    <col min="6776" max="6776" width="9.3046875" style="1" customWidth="1"/>
    <col min="6777" max="6781" width="4.765625" style="1" customWidth="1"/>
    <col min="6782" max="6782" width="6.765625" style="1" customWidth="1"/>
    <col min="6783" max="6783" width="9.3046875" style="1" customWidth="1"/>
    <col min="6784" max="6784" width="9.4609375" style="1" customWidth="1"/>
    <col min="6785" max="6785" width="5.765625" style="1" customWidth="1"/>
    <col min="6786" max="6786" width="6.23046875" style="1" customWidth="1"/>
    <col min="6787" max="6787" width="9" style="1" customWidth="1"/>
    <col min="6788" max="6788" width="13.3046875" style="1" customWidth="1"/>
    <col min="6789" max="6789" width="9.765625" style="1" customWidth="1"/>
    <col min="6790" max="6791" width="9" style="1" hidden="1" customWidth="1"/>
    <col min="6792" max="7026" width="8.69140625" style="1"/>
    <col min="7027" max="7027" width="9" style="1" customWidth="1"/>
    <col min="7028" max="7028" width="12.69140625" style="1" customWidth="1"/>
    <col min="7029" max="7029" width="12.07421875" style="1" customWidth="1"/>
    <col min="7030" max="7030" width="6.4609375" style="1" customWidth="1"/>
    <col min="7031" max="7031" width="5.4609375" style="1" customWidth="1"/>
    <col min="7032" max="7032" width="9.3046875" style="1" customWidth="1"/>
    <col min="7033" max="7037" width="4.765625" style="1" customWidth="1"/>
    <col min="7038" max="7038" width="6.765625" style="1" customWidth="1"/>
    <col min="7039" max="7039" width="9.3046875" style="1" customWidth="1"/>
    <col min="7040" max="7040" width="9.4609375" style="1" customWidth="1"/>
    <col min="7041" max="7041" width="5.765625" style="1" customWidth="1"/>
    <col min="7042" max="7042" width="6.23046875" style="1" customWidth="1"/>
    <col min="7043" max="7043" width="9" style="1" customWidth="1"/>
    <col min="7044" max="7044" width="13.3046875" style="1" customWidth="1"/>
    <col min="7045" max="7045" width="9.765625" style="1" customWidth="1"/>
    <col min="7046" max="7047" width="9" style="1" hidden="1" customWidth="1"/>
    <col min="7048" max="7282" width="8.69140625" style="1"/>
    <col min="7283" max="7283" width="9" style="1" customWidth="1"/>
    <col min="7284" max="7284" width="12.69140625" style="1" customWidth="1"/>
    <col min="7285" max="7285" width="12.07421875" style="1" customWidth="1"/>
    <col min="7286" max="7286" width="6.4609375" style="1" customWidth="1"/>
    <col min="7287" max="7287" width="5.4609375" style="1" customWidth="1"/>
    <col min="7288" max="7288" width="9.3046875" style="1" customWidth="1"/>
    <col min="7289" max="7293" width="4.765625" style="1" customWidth="1"/>
    <col min="7294" max="7294" width="6.765625" style="1" customWidth="1"/>
    <col min="7295" max="7295" width="9.3046875" style="1" customWidth="1"/>
    <col min="7296" max="7296" width="9.4609375" style="1" customWidth="1"/>
    <col min="7297" max="7297" width="5.765625" style="1" customWidth="1"/>
    <col min="7298" max="7298" width="6.23046875" style="1" customWidth="1"/>
    <col min="7299" max="7299" width="9" style="1" customWidth="1"/>
    <col min="7300" max="7300" width="13.3046875" style="1" customWidth="1"/>
    <col min="7301" max="7301" width="9.765625" style="1" customWidth="1"/>
    <col min="7302" max="7303" width="9" style="1" hidden="1" customWidth="1"/>
    <col min="7304" max="7538" width="8.69140625" style="1"/>
    <col min="7539" max="7539" width="9" style="1" customWidth="1"/>
    <col min="7540" max="7540" width="12.69140625" style="1" customWidth="1"/>
    <col min="7541" max="7541" width="12.07421875" style="1" customWidth="1"/>
    <col min="7542" max="7542" width="6.4609375" style="1" customWidth="1"/>
    <col min="7543" max="7543" width="5.4609375" style="1" customWidth="1"/>
    <col min="7544" max="7544" width="9.3046875" style="1" customWidth="1"/>
    <col min="7545" max="7549" width="4.765625" style="1" customWidth="1"/>
    <col min="7550" max="7550" width="6.765625" style="1" customWidth="1"/>
    <col min="7551" max="7551" width="9.3046875" style="1" customWidth="1"/>
    <col min="7552" max="7552" width="9.4609375" style="1" customWidth="1"/>
    <col min="7553" max="7553" width="5.765625" style="1" customWidth="1"/>
    <col min="7554" max="7554" width="6.23046875" style="1" customWidth="1"/>
    <col min="7555" max="7555" width="9" style="1" customWidth="1"/>
    <col min="7556" max="7556" width="13.3046875" style="1" customWidth="1"/>
    <col min="7557" max="7557" width="9.765625" style="1" customWidth="1"/>
    <col min="7558" max="7559" width="9" style="1" hidden="1" customWidth="1"/>
    <col min="7560" max="7794" width="8.69140625" style="1"/>
    <col min="7795" max="7795" width="9" style="1" customWidth="1"/>
    <col min="7796" max="7796" width="12.69140625" style="1" customWidth="1"/>
    <col min="7797" max="7797" width="12.07421875" style="1" customWidth="1"/>
    <col min="7798" max="7798" width="6.4609375" style="1" customWidth="1"/>
    <col min="7799" max="7799" width="5.4609375" style="1" customWidth="1"/>
    <col min="7800" max="7800" width="9.3046875" style="1" customWidth="1"/>
    <col min="7801" max="7805" width="4.765625" style="1" customWidth="1"/>
    <col min="7806" max="7806" width="6.765625" style="1" customWidth="1"/>
    <col min="7807" max="7807" width="9.3046875" style="1" customWidth="1"/>
    <col min="7808" max="7808" width="9.4609375" style="1" customWidth="1"/>
    <col min="7809" max="7809" width="5.765625" style="1" customWidth="1"/>
    <col min="7810" max="7810" width="6.23046875" style="1" customWidth="1"/>
    <col min="7811" max="7811" width="9" style="1" customWidth="1"/>
    <col min="7812" max="7812" width="13.3046875" style="1" customWidth="1"/>
    <col min="7813" max="7813" width="9.765625" style="1" customWidth="1"/>
    <col min="7814" max="7815" width="9" style="1" hidden="1" customWidth="1"/>
    <col min="7816" max="8050" width="8.69140625" style="1"/>
    <col min="8051" max="8051" width="9" style="1" customWidth="1"/>
    <col min="8052" max="8052" width="12.69140625" style="1" customWidth="1"/>
    <col min="8053" max="8053" width="12.07421875" style="1" customWidth="1"/>
    <col min="8054" max="8054" width="6.4609375" style="1" customWidth="1"/>
    <col min="8055" max="8055" width="5.4609375" style="1" customWidth="1"/>
    <col min="8056" max="8056" width="9.3046875" style="1" customWidth="1"/>
    <col min="8057" max="8061" width="4.765625" style="1" customWidth="1"/>
    <col min="8062" max="8062" width="6.765625" style="1" customWidth="1"/>
    <col min="8063" max="8063" width="9.3046875" style="1" customWidth="1"/>
    <col min="8064" max="8064" width="9.4609375" style="1" customWidth="1"/>
    <col min="8065" max="8065" width="5.765625" style="1" customWidth="1"/>
    <col min="8066" max="8066" width="6.23046875" style="1" customWidth="1"/>
    <col min="8067" max="8067" width="9" style="1" customWidth="1"/>
    <col min="8068" max="8068" width="13.3046875" style="1" customWidth="1"/>
    <col min="8069" max="8069" width="9.765625" style="1" customWidth="1"/>
    <col min="8070" max="8071" width="9" style="1" hidden="1" customWidth="1"/>
    <col min="8072" max="8306" width="8.69140625" style="1"/>
    <col min="8307" max="8307" width="9" style="1" customWidth="1"/>
    <col min="8308" max="8308" width="12.69140625" style="1" customWidth="1"/>
    <col min="8309" max="8309" width="12.07421875" style="1" customWidth="1"/>
    <col min="8310" max="8310" width="6.4609375" style="1" customWidth="1"/>
    <col min="8311" max="8311" width="5.4609375" style="1" customWidth="1"/>
    <col min="8312" max="8312" width="9.3046875" style="1" customWidth="1"/>
    <col min="8313" max="8317" width="4.765625" style="1" customWidth="1"/>
    <col min="8318" max="8318" width="6.765625" style="1" customWidth="1"/>
    <col min="8319" max="8319" width="9.3046875" style="1" customWidth="1"/>
    <col min="8320" max="8320" width="9.4609375" style="1" customWidth="1"/>
    <col min="8321" max="8321" width="5.765625" style="1" customWidth="1"/>
    <col min="8322" max="8322" width="6.23046875" style="1" customWidth="1"/>
    <col min="8323" max="8323" width="9" style="1" customWidth="1"/>
    <col min="8324" max="8324" width="13.3046875" style="1" customWidth="1"/>
    <col min="8325" max="8325" width="9.765625" style="1" customWidth="1"/>
    <col min="8326" max="8327" width="9" style="1" hidden="1" customWidth="1"/>
    <col min="8328" max="8562" width="8.69140625" style="1"/>
    <col min="8563" max="8563" width="9" style="1" customWidth="1"/>
    <col min="8564" max="8564" width="12.69140625" style="1" customWidth="1"/>
    <col min="8565" max="8565" width="12.07421875" style="1" customWidth="1"/>
    <col min="8566" max="8566" width="6.4609375" style="1" customWidth="1"/>
    <col min="8567" max="8567" width="5.4609375" style="1" customWidth="1"/>
    <col min="8568" max="8568" width="9.3046875" style="1" customWidth="1"/>
    <col min="8569" max="8573" width="4.765625" style="1" customWidth="1"/>
    <col min="8574" max="8574" width="6.765625" style="1" customWidth="1"/>
    <col min="8575" max="8575" width="9.3046875" style="1" customWidth="1"/>
    <col min="8576" max="8576" width="9.4609375" style="1" customWidth="1"/>
    <col min="8577" max="8577" width="5.765625" style="1" customWidth="1"/>
    <col min="8578" max="8578" width="6.23046875" style="1" customWidth="1"/>
    <col min="8579" max="8579" width="9" style="1" customWidth="1"/>
    <col min="8580" max="8580" width="13.3046875" style="1" customWidth="1"/>
    <col min="8581" max="8581" width="9.765625" style="1" customWidth="1"/>
    <col min="8582" max="8583" width="9" style="1" hidden="1" customWidth="1"/>
    <col min="8584" max="8818" width="8.69140625" style="1"/>
    <col min="8819" max="8819" width="9" style="1" customWidth="1"/>
    <col min="8820" max="8820" width="12.69140625" style="1" customWidth="1"/>
    <col min="8821" max="8821" width="12.07421875" style="1" customWidth="1"/>
    <col min="8822" max="8822" width="6.4609375" style="1" customWidth="1"/>
    <col min="8823" max="8823" width="5.4609375" style="1" customWidth="1"/>
    <col min="8824" max="8824" width="9.3046875" style="1" customWidth="1"/>
    <col min="8825" max="8829" width="4.765625" style="1" customWidth="1"/>
    <col min="8830" max="8830" width="6.765625" style="1" customWidth="1"/>
    <col min="8831" max="8831" width="9.3046875" style="1" customWidth="1"/>
    <col min="8832" max="8832" width="9.4609375" style="1" customWidth="1"/>
    <col min="8833" max="8833" width="5.765625" style="1" customWidth="1"/>
    <col min="8834" max="8834" width="6.23046875" style="1" customWidth="1"/>
    <col min="8835" max="8835" width="9" style="1" customWidth="1"/>
    <col min="8836" max="8836" width="13.3046875" style="1" customWidth="1"/>
    <col min="8837" max="8837" width="9.765625" style="1" customWidth="1"/>
    <col min="8838" max="8839" width="9" style="1" hidden="1" customWidth="1"/>
    <col min="8840" max="9074" width="8.69140625" style="1"/>
    <col min="9075" max="9075" width="9" style="1" customWidth="1"/>
    <col min="9076" max="9076" width="12.69140625" style="1" customWidth="1"/>
    <col min="9077" max="9077" width="12.07421875" style="1" customWidth="1"/>
    <col min="9078" max="9078" width="6.4609375" style="1" customWidth="1"/>
    <col min="9079" max="9079" width="5.4609375" style="1" customWidth="1"/>
    <col min="9080" max="9080" width="9.3046875" style="1" customWidth="1"/>
    <col min="9081" max="9085" width="4.765625" style="1" customWidth="1"/>
    <col min="9086" max="9086" width="6.765625" style="1" customWidth="1"/>
    <col min="9087" max="9087" width="9.3046875" style="1" customWidth="1"/>
    <col min="9088" max="9088" width="9.4609375" style="1" customWidth="1"/>
    <col min="9089" max="9089" width="5.765625" style="1" customWidth="1"/>
    <col min="9090" max="9090" width="6.23046875" style="1" customWidth="1"/>
    <col min="9091" max="9091" width="9" style="1" customWidth="1"/>
    <col min="9092" max="9092" width="13.3046875" style="1" customWidth="1"/>
    <col min="9093" max="9093" width="9.765625" style="1" customWidth="1"/>
    <col min="9094" max="9095" width="9" style="1" hidden="1" customWidth="1"/>
    <col min="9096" max="9330" width="8.69140625" style="1"/>
    <col min="9331" max="9331" width="9" style="1" customWidth="1"/>
    <col min="9332" max="9332" width="12.69140625" style="1" customWidth="1"/>
    <col min="9333" max="9333" width="12.07421875" style="1" customWidth="1"/>
    <col min="9334" max="9334" width="6.4609375" style="1" customWidth="1"/>
    <col min="9335" max="9335" width="5.4609375" style="1" customWidth="1"/>
    <col min="9336" max="9336" width="9.3046875" style="1" customWidth="1"/>
    <col min="9337" max="9341" width="4.765625" style="1" customWidth="1"/>
    <col min="9342" max="9342" width="6.765625" style="1" customWidth="1"/>
    <col min="9343" max="9343" width="9.3046875" style="1" customWidth="1"/>
    <col min="9344" max="9344" width="9.4609375" style="1" customWidth="1"/>
    <col min="9345" max="9345" width="5.765625" style="1" customWidth="1"/>
    <col min="9346" max="9346" width="6.23046875" style="1" customWidth="1"/>
    <col min="9347" max="9347" width="9" style="1" customWidth="1"/>
    <col min="9348" max="9348" width="13.3046875" style="1" customWidth="1"/>
    <col min="9349" max="9349" width="9.765625" style="1" customWidth="1"/>
    <col min="9350" max="9351" width="9" style="1" hidden="1" customWidth="1"/>
    <col min="9352" max="9586" width="8.69140625" style="1"/>
    <col min="9587" max="9587" width="9" style="1" customWidth="1"/>
    <col min="9588" max="9588" width="12.69140625" style="1" customWidth="1"/>
    <col min="9589" max="9589" width="12.07421875" style="1" customWidth="1"/>
    <col min="9590" max="9590" width="6.4609375" style="1" customWidth="1"/>
    <col min="9591" max="9591" width="5.4609375" style="1" customWidth="1"/>
    <col min="9592" max="9592" width="9.3046875" style="1" customWidth="1"/>
    <col min="9593" max="9597" width="4.765625" style="1" customWidth="1"/>
    <col min="9598" max="9598" width="6.765625" style="1" customWidth="1"/>
    <col min="9599" max="9599" width="9.3046875" style="1" customWidth="1"/>
    <col min="9600" max="9600" width="9.4609375" style="1" customWidth="1"/>
    <col min="9601" max="9601" width="5.765625" style="1" customWidth="1"/>
    <col min="9602" max="9602" width="6.23046875" style="1" customWidth="1"/>
    <col min="9603" max="9603" width="9" style="1" customWidth="1"/>
    <col min="9604" max="9604" width="13.3046875" style="1" customWidth="1"/>
    <col min="9605" max="9605" width="9.765625" style="1" customWidth="1"/>
    <col min="9606" max="9607" width="9" style="1" hidden="1" customWidth="1"/>
    <col min="9608" max="9842" width="8.69140625" style="1"/>
    <col min="9843" max="9843" width="9" style="1" customWidth="1"/>
    <col min="9844" max="9844" width="12.69140625" style="1" customWidth="1"/>
    <col min="9845" max="9845" width="12.07421875" style="1" customWidth="1"/>
    <col min="9846" max="9846" width="6.4609375" style="1" customWidth="1"/>
    <col min="9847" max="9847" width="5.4609375" style="1" customWidth="1"/>
    <col min="9848" max="9848" width="9.3046875" style="1" customWidth="1"/>
    <col min="9849" max="9853" width="4.765625" style="1" customWidth="1"/>
    <col min="9854" max="9854" width="6.765625" style="1" customWidth="1"/>
    <col min="9855" max="9855" width="9.3046875" style="1" customWidth="1"/>
    <col min="9856" max="9856" width="9.4609375" style="1" customWidth="1"/>
    <col min="9857" max="9857" width="5.765625" style="1" customWidth="1"/>
    <col min="9858" max="9858" width="6.23046875" style="1" customWidth="1"/>
    <col min="9859" max="9859" width="9" style="1" customWidth="1"/>
    <col min="9860" max="9860" width="13.3046875" style="1" customWidth="1"/>
    <col min="9861" max="9861" width="9.765625" style="1" customWidth="1"/>
    <col min="9862" max="9863" width="9" style="1" hidden="1" customWidth="1"/>
    <col min="9864" max="10098" width="8.69140625" style="1"/>
    <col min="10099" max="10099" width="9" style="1" customWidth="1"/>
    <col min="10100" max="10100" width="12.69140625" style="1" customWidth="1"/>
    <col min="10101" max="10101" width="12.07421875" style="1" customWidth="1"/>
    <col min="10102" max="10102" width="6.4609375" style="1" customWidth="1"/>
    <col min="10103" max="10103" width="5.4609375" style="1" customWidth="1"/>
    <col min="10104" max="10104" width="9.3046875" style="1" customWidth="1"/>
    <col min="10105" max="10109" width="4.765625" style="1" customWidth="1"/>
    <col min="10110" max="10110" width="6.765625" style="1" customWidth="1"/>
    <col min="10111" max="10111" width="9.3046875" style="1" customWidth="1"/>
    <col min="10112" max="10112" width="9.4609375" style="1" customWidth="1"/>
    <col min="10113" max="10113" width="5.765625" style="1" customWidth="1"/>
    <col min="10114" max="10114" width="6.23046875" style="1" customWidth="1"/>
    <col min="10115" max="10115" width="9" style="1" customWidth="1"/>
    <col min="10116" max="10116" width="13.3046875" style="1" customWidth="1"/>
    <col min="10117" max="10117" width="9.765625" style="1" customWidth="1"/>
    <col min="10118" max="10119" width="9" style="1" hidden="1" customWidth="1"/>
    <col min="10120" max="10354" width="8.69140625" style="1"/>
    <col min="10355" max="10355" width="9" style="1" customWidth="1"/>
    <col min="10356" max="10356" width="12.69140625" style="1" customWidth="1"/>
    <col min="10357" max="10357" width="12.07421875" style="1" customWidth="1"/>
    <col min="10358" max="10358" width="6.4609375" style="1" customWidth="1"/>
    <col min="10359" max="10359" width="5.4609375" style="1" customWidth="1"/>
    <col min="10360" max="10360" width="9.3046875" style="1" customWidth="1"/>
    <col min="10361" max="10365" width="4.765625" style="1" customWidth="1"/>
    <col min="10366" max="10366" width="6.765625" style="1" customWidth="1"/>
    <col min="10367" max="10367" width="9.3046875" style="1" customWidth="1"/>
    <col min="10368" max="10368" width="9.4609375" style="1" customWidth="1"/>
    <col min="10369" max="10369" width="5.765625" style="1" customWidth="1"/>
    <col min="10370" max="10370" width="6.23046875" style="1" customWidth="1"/>
    <col min="10371" max="10371" width="9" style="1" customWidth="1"/>
    <col min="10372" max="10372" width="13.3046875" style="1" customWidth="1"/>
    <col min="10373" max="10373" width="9.765625" style="1" customWidth="1"/>
    <col min="10374" max="10375" width="9" style="1" hidden="1" customWidth="1"/>
    <col min="10376" max="10610" width="8.69140625" style="1"/>
    <col min="10611" max="10611" width="9" style="1" customWidth="1"/>
    <col min="10612" max="10612" width="12.69140625" style="1" customWidth="1"/>
    <col min="10613" max="10613" width="12.07421875" style="1" customWidth="1"/>
    <col min="10614" max="10614" width="6.4609375" style="1" customWidth="1"/>
    <col min="10615" max="10615" width="5.4609375" style="1" customWidth="1"/>
    <col min="10616" max="10616" width="9.3046875" style="1" customWidth="1"/>
    <col min="10617" max="10621" width="4.765625" style="1" customWidth="1"/>
    <col min="10622" max="10622" width="6.765625" style="1" customWidth="1"/>
    <col min="10623" max="10623" width="9.3046875" style="1" customWidth="1"/>
    <col min="10624" max="10624" width="9.4609375" style="1" customWidth="1"/>
    <col min="10625" max="10625" width="5.765625" style="1" customWidth="1"/>
    <col min="10626" max="10626" width="6.23046875" style="1" customWidth="1"/>
    <col min="10627" max="10627" width="9" style="1" customWidth="1"/>
    <col min="10628" max="10628" width="13.3046875" style="1" customWidth="1"/>
    <col min="10629" max="10629" width="9.765625" style="1" customWidth="1"/>
    <col min="10630" max="10631" width="9" style="1" hidden="1" customWidth="1"/>
    <col min="10632" max="10866" width="8.69140625" style="1"/>
    <col min="10867" max="10867" width="9" style="1" customWidth="1"/>
    <col min="10868" max="10868" width="12.69140625" style="1" customWidth="1"/>
    <col min="10869" max="10869" width="12.07421875" style="1" customWidth="1"/>
    <col min="10870" max="10870" width="6.4609375" style="1" customWidth="1"/>
    <col min="10871" max="10871" width="5.4609375" style="1" customWidth="1"/>
    <col min="10872" max="10872" width="9.3046875" style="1" customWidth="1"/>
    <col min="10873" max="10877" width="4.765625" style="1" customWidth="1"/>
    <col min="10878" max="10878" width="6.765625" style="1" customWidth="1"/>
    <col min="10879" max="10879" width="9.3046875" style="1" customWidth="1"/>
    <col min="10880" max="10880" width="9.4609375" style="1" customWidth="1"/>
    <col min="10881" max="10881" width="5.765625" style="1" customWidth="1"/>
    <col min="10882" max="10882" width="6.23046875" style="1" customWidth="1"/>
    <col min="10883" max="10883" width="9" style="1" customWidth="1"/>
    <col min="10884" max="10884" width="13.3046875" style="1" customWidth="1"/>
    <col min="10885" max="10885" width="9.765625" style="1" customWidth="1"/>
    <col min="10886" max="10887" width="9" style="1" hidden="1" customWidth="1"/>
    <col min="10888" max="11122" width="8.69140625" style="1"/>
    <col min="11123" max="11123" width="9" style="1" customWidth="1"/>
    <col min="11124" max="11124" width="12.69140625" style="1" customWidth="1"/>
    <col min="11125" max="11125" width="12.07421875" style="1" customWidth="1"/>
    <col min="11126" max="11126" width="6.4609375" style="1" customWidth="1"/>
    <col min="11127" max="11127" width="5.4609375" style="1" customWidth="1"/>
    <col min="11128" max="11128" width="9.3046875" style="1" customWidth="1"/>
    <col min="11129" max="11133" width="4.765625" style="1" customWidth="1"/>
    <col min="11134" max="11134" width="6.765625" style="1" customWidth="1"/>
    <col min="11135" max="11135" width="9.3046875" style="1" customWidth="1"/>
    <col min="11136" max="11136" width="9.4609375" style="1" customWidth="1"/>
    <col min="11137" max="11137" width="5.765625" style="1" customWidth="1"/>
    <col min="11138" max="11138" width="6.23046875" style="1" customWidth="1"/>
    <col min="11139" max="11139" width="9" style="1" customWidth="1"/>
    <col min="11140" max="11140" width="13.3046875" style="1" customWidth="1"/>
    <col min="11141" max="11141" width="9.765625" style="1" customWidth="1"/>
    <col min="11142" max="11143" width="9" style="1" hidden="1" customWidth="1"/>
    <col min="11144" max="11378" width="8.69140625" style="1"/>
    <col min="11379" max="11379" width="9" style="1" customWidth="1"/>
    <col min="11380" max="11380" width="12.69140625" style="1" customWidth="1"/>
    <col min="11381" max="11381" width="12.07421875" style="1" customWidth="1"/>
    <col min="11382" max="11382" width="6.4609375" style="1" customWidth="1"/>
    <col min="11383" max="11383" width="5.4609375" style="1" customWidth="1"/>
    <col min="11384" max="11384" width="9.3046875" style="1" customWidth="1"/>
    <col min="11385" max="11389" width="4.765625" style="1" customWidth="1"/>
    <col min="11390" max="11390" width="6.765625" style="1" customWidth="1"/>
    <col min="11391" max="11391" width="9.3046875" style="1" customWidth="1"/>
    <col min="11392" max="11392" width="9.4609375" style="1" customWidth="1"/>
    <col min="11393" max="11393" width="5.765625" style="1" customWidth="1"/>
    <col min="11394" max="11394" width="6.23046875" style="1" customWidth="1"/>
    <col min="11395" max="11395" width="9" style="1" customWidth="1"/>
    <col min="11396" max="11396" width="13.3046875" style="1" customWidth="1"/>
    <col min="11397" max="11397" width="9.765625" style="1" customWidth="1"/>
    <col min="11398" max="11399" width="9" style="1" hidden="1" customWidth="1"/>
    <col min="11400" max="11634" width="8.69140625" style="1"/>
    <col min="11635" max="11635" width="9" style="1" customWidth="1"/>
    <col min="11636" max="11636" width="12.69140625" style="1" customWidth="1"/>
    <col min="11637" max="11637" width="12.07421875" style="1" customWidth="1"/>
    <col min="11638" max="11638" width="6.4609375" style="1" customWidth="1"/>
    <col min="11639" max="11639" width="5.4609375" style="1" customWidth="1"/>
    <col min="11640" max="11640" width="9.3046875" style="1" customWidth="1"/>
    <col min="11641" max="11645" width="4.765625" style="1" customWidth="1"/>
    <col min="11646" max="11646" width="6.765625" style="1" customWidth="1"/>
    <col min="11647" max="11647" width="9.3046875" style="1" customWidth="1"/>
    <col min="11648" max="11648" width="9.4609375" style="1" customWidth="1"/>
    <col min="11649" max="11649" width="5.765625" style="1" customWidth="1"/>
    <col min="11650" max="11650" width="6.23046875" style="1" customWidth="1"/>
    <col min="11651" max="11651" width="9" style="1" customWidth="1"/>
    <col min="11652" max="11652" width="13.3046875" style="1" customWidth="1"/>
    <col min="11653" max="11653" width="9.765625" style="1" customWidth="1"/>
    <col min="11654" max="11655" width="9" style="1" hidden="1" customWidth="1"/>
    <col min="11656" max="11890" width="8.69140625" style="1"/>
    <col min="11891" max="11891" width="9" style="1" customWidth="1"/>
    <col min="11892" max="11892" width="12.69140625" style="1" customWidth="1"/>
    <col min="11893" max="11893" width="12.07421875" style="1" customWidth="1"/>
    <col min="11894" max="11894" width="6.4609375" style="1" customWidth="1"/>
    <col min="11895" max="11895" width="5.4609375" style="1" customWidth="1"/>
    <col min="11896" max="11896" width="9.3046875" style="1" customWidth="1"/>
    <col min="11897" max="11901" width="4.765625" style="1" customWidth="1"/>
    <col min="11902" max="11902" width="6.765625" style="1" customWidth="1"/>
    <col min="11903" max="11903" width="9.3046875" style="1" customWidth="1"/>
    <col min="11904" max="11904" width="9.4609375" style="1" customWidth="1"/>
    <col min="11905" max="11905" width="5.765625" style="1" customWidth="1"/>
    <col min="11906" max="11906" width="6.23046875" style="1" customWidth="1"/>
    <col min="11907" max="11907" width="9" style="1" customWidth="1"/>
    <col min="11908" max="11908" width="13.3046875" style="1" customWidth="1"/>
    <col min="11909" max="11909" width="9.765625" style="1" customWidth="1"/>
    <col min="11910" max="11911" width="9" style="1" hidden="1" customWidth="1"/>
    <col min="11912" max="12146" width="8.69140625" style="1"/>
    <col min="12147" max="12147" width="9" style="1" customWidth="1"/>
    <col min="12148" max="12148" width="12.69140625" style="1" customWidth="1"/>
    <col min="12149" max="12149" width="12.07421875" style="1" customWidth="1"/>
    <col min="12150" max="12150" width="6.4609375" style="1" customWidth="1"/>
    <col min="12151" max="12151" width="5.4609375" style="1" customWidth="1"/>
    <col min="12152" max="12152" width="9.3046875" style="1" customWidth="1"/>
    <col min="12153" max="12157" width="4.765625" style="1" customWidth="1"/>
    <col min="12158" max="12158" width="6.765625" style="1" customWidth="1"/>
    <col min="12159" max="12159" width="9.3046875" style="1" customWidth="1"/>
    <col min="12160" max="12160" width="9.4609375" style="1" customWidth="1"/>
    <col min="12161" max="12161" width="5.765625" style="1" customWidth="1"/>
    <col min="12162" max="12162" width="6.23046875" style="1" customWidth="1"/>
    <col min="12163" max="12163" width="9" style="1" customWidth="1"/>
    <col min="12164" max="12164" width="13.3046875" style="1" customWidth="1"/>
    <col min="12165" max="12165" width="9.765625" style="1" customWidth="1"/>
    <col min="12166" max="12167" width="9" style="1" hidden="1" customWidth="1"/>
    <col min="12168" max="12402" width="8.69140625" style="1"/>
    <col min="12403" max="12403" width="9" style="1" customWidth="1"/>
    <col min="12404" max="12404" width="12.69140625" style="1" customWidth="1"/>
    <col min="12405" max="12405" width="12.07421875" style="1" customWidth="1"/>
    <col min="12406" max="12406" width="6.4609375" style="1" customWidth="1"/>
    <col min="12407" max="12407" width="5.4609375" style="1" customWidth="1"/>
    <col min="12408" max="12408" width="9.3046875" style="1" customWidth="1"/>
    <col min="12409" max="12413" width="4.765625" style="1" customWidth="1"/>
    <col min="12414" max="12414" width="6.765625" style="1" customWidth="1"/>
    <col min="12415" max="12415" width="9.3046875" style="1" customWidth="1"/>
    <col min="12416" max="12416" width="9.4609375" style="1" customWidth="1"/>
    <col min="12417" max="12417" width="5.765625" style="1" customWidth="1"/>
    <col min="12418" max="12418" width="6.23046875" style="1" customWidth="1"/>
    <col min="12419" max="12419" width="9" style="1" customWidth="1"/>
    <col min="12420" max="12420" width="13.3046875" style="1" customWidth="1"/>
    <col min="12421" max="12421" width="9.765625" style="1" customWidth="1"/>
    <col min="12422" max="12423" width="9" style="1" hidden="1" customWidth="1"/>
    <col min="12424" max="12658" width="8.69140625" style="1"/>
    <col min="12659" max="12659" width="9" style="1" customWidth="1"/>
    <col min="12660" max="12660" width="12.69140625" style="1" customWidth="1"/>
    <col min="12661" max="12661" width="12.07421875" style="1" customWidth="1"/>
    <col min="12662" max="12662" width="6.4609375" style="1" customWidth="1"/>
    <col min="12663" max="12663" width="5.4609375" style="1" customWidth="1"/>
    <col min="12664" max="12664" width="9.3046875" style="1" customWidth="1"/>
    <col min="12665" max="12669" width="4.765625" style="1" customWidth="1"/>
    <col min="12670" max="12670" width="6.765625" style="1" customWidth="1"/>
    <col min="12671" max="12671" width="9.3046875" style="1" customWidth="1"/>
    <col min="12672" max="12672" width="9.4609375" style="1" customWidth="1"/>
    <col min="12673" max="12673" width="5.765625" style="1" customWidth="1"/>
    <col min="12674" max="12674" width="6.23046875" style="1" customWidth="1"/>
    <col min="12675" max="12675" width="9" style="1" customWidth="1"/>
    <col min="12676" max="12676" width="13.3046875" style="1" customWidth="1"/>
    <col min="12677" max="12677" width="9.765625" style="1" customWidth="1"/>
    <col min="12678" max="12679" width="9" style="1" hidden="1" customWidth="1"/>
    <col min="12680" max="12914" width="8.69140625" style="1"/>
    <col min="12915" max="12915" width="9" style="1" customWidth="1"/>
    <col min="12916" max="12916" width="12.69140625" style="1" customWidth="1"/>
    <col min="12917" max="12917" width="12.07421875" style="1" customWidth="1"/>
    <col min="12918" max="12918" width="6.4609375" style="1" customWidth="1"/>
    <col min="12919" max="12919" width="5.4609375" style="1" customWidth="1"/>
    <col min="12920" max="12920" width="9.3046875" style="1" customWidth="1"/>
    <col min="12921" max="12925" width="4.765625" style="1" customWidth="1"/>
    <col min="12926" max="12926" width="6.765625" style="1" customWidth="1"/>
    <col min="12927" max="12927" width="9.3046875" style="1" customWidth="1"/>
    <col min="12928" max="12928" width="9.4609375" style="1" customWidth="1"/>
    <col min="12929" max="12929" width="5.765625" style="1" customWidth="1"/>
    <col min="12930" max="12930" width="6.23046875" style="1" customWidth="1"/>
    <col min="12931" max="12931" width="9" style="1" customWidth="1"/>
    <col min="12932" max="12932" width="13.3046875" style="1" customWidth="1"/>
    <col min="12933" max="12933" width="9.765625" style="1" customWidth="1"/>
    <col min="12934" max="12935" width="9" style="1" hidden="1" customWidth="1"/>
    <col min="12936" max="13170" width="8.69140625" style="1"/>
    <col min="13171" max="13171" width="9" style="1" customWidth="1"/>
    <col min="13172" max="13172" width="12.69140625" style="1" customWidth="1"/>
    <col min="13173" max="13173" width="12.07421875" style="1" customWidth="1"/>
    <col min="13174" max="13174" width="6.4609375" style="1" customWidth="1"/>
    <col min="13175" max="13175" width="5.4609375" style="1" customWidth="1"/>
    <col min="13176" max="13176" width="9.3046875" style="1" customWidth="1"/>
    <col min="13177" max="13181" width="4.765625" style="1" customWidth="1"/>
    <col min="13182" max="13182" width="6.765625" style="1" customWidth="1"/>
    <col min="13183" max="13183" width="9.3046875" style="1" customWidth="1"/>
    <col min="13184" max="13184" width="9.4609375" style="1" customWidth="1"/>
    <col min="13185" max="13185" width="5.765625" style="1" customWidth="1"/>
    <col min="13186" max="13186" width="6.23046875" style="1" customWidth="1"/>
    <col min="13187" max="13187" width="9" style="1" customWidth="1"/>
    <col min="13188" max="13188" width="13.3046875" style="1" customWidth="1"/>
    <col min="13189" max="13189" width="9.765625" style="1" customWidth="1"/>
    <col min="13190" max="13191" width="9" style="1" hidden="1" customWidth="1"/>
    <col min="13192" max="13426" width="8.69140625" style="1"/>
    <col min="13427" max="13427" width="9" style="1" customWidth="1"/>
    <col min="13428" max="13428" width="12.69140625" style="1" customWidth="1"/>
    <col min="13429" max="13429" width="12.07421875" style="1" customWidth="1"/>
    <col min="13430" max="13430" width="6.4609375" style="1" customWidth="1"/>
    <col min="13431" max="13431" width="5.4609375" style="1" customWidth="1"/>
    <col min="13432" max="13432" width="9.3046875" style="1" customWidth="1"/>
    <col min="13433" max="13437" width="4.765625" style="1" customWidth="1"/>
    <col min="13438" max="13438" width="6.765625" style="1" customWidth="1"/>
    <col min="13439" max="13439" width="9.3046875" style="1" customWidth="1"/>
    <col min="13440" max="13440" width="9.4609375" style="1" customWidth="1"/>
    <col min="13441" max="13441" width="5.765625" style="1" customWidth="1"/>
    <col min="13442" max="13442" width="6.23046875" style="1" customWidth="1"/>
    <col min="13443" max="13443" width="9" style="1" customWidth="1"/>
    <col min="13444" max="13444" width="13.3046875" style="1" customWidth="1"/>
    <col min="13445" max="13445" width="9.765625" style="1" customWidth="1"/>
    <col min="13446" max="13447" width="9" style="1" hidden="1" customWidth="1"/>
    <col min="13448" max="13682" width="8.69140625" style="1"/>
    <col min="13683" max="13683" width="9" style="1" customWidth="1"/>
    <col min="13684" max="13684" width="12.69140625" style="1" customWidth="1"/>
    <col min="13685" max="13685" width="12.07421875" style="1" customWidth="1"/>
    <col min="13686" max="13686" width="6.4609375" style="1" customWidth="1"/>
    <col min="13687" max="13687" width="5.4609375" style="1" customWidth="1"/>
    <col min="13688" max="13688" width="9.3046875" style="1" customWidth="1"/>
    <col min="13689" max="13693" width="4.765625" style="1" customWidth="1"/>
    <col min="13694" max="13694" width="6.765625" style="1" customWidth="1"/>
    <col min="13695" max="13695" width="9.3046875" style="1" customWidth="1"/>
    <col min="13696" max="13696" width="9.4609375" style="1" customWidth="1"/>
    <col min="13697" max="13697" width="5.765625" style="1" customWidth="1"/>
    <col min="13698" max="13698" width="6.23046875" style="1" customWidth="1"/>
    <col min="13699" max="13699" width="9" style="1" customWidth="1"/>
    <col min="13700" max="13700" width="13.3046875" style="1" customWidth="1"/>
    <col min="13701" max="13701" width="9.765625" style="1" customWidth="1"/>
    <col min="13702" max="13703" width="9" style="1" hidden="1" customWidth="1"/>
    <col min="13704" max="13938" width="8.69140625" style="1"/>
    <col min="13939" max="13939" width="9" style="1" customWidth="1"/>
    <col min="13940" max="13940" width="12.69140625" style="1" customWidth="1"/>
    <col min="13941" max="13941" width="12.07421875" style="1" customWidth="1"/>
    <col min="13942" max="13942" width="6.4609375" style="1" customWidth="1"/>
    <col min="13943" max="13943" width="5.4609375" style="1" customWidth="1"/>
    <col min="13944" max="13944" width="9.3046875" style="1" customWidth="1"/>
    <col min="13945" max="13949" width="4.765625" style="1" customWidth="1"/>
    <col min="13950" max="13950" width="6.765625" style="1" customWidth="1"/>
    <col min="13951" max="13951" width="9.3046875" style="1" customWidth="1"/>
    <col min="13952" max="13952" width="9.4609375" style="1" customWidth="1"/>
    <col min="13953" max="13953" width="5.765625" style="1" customWidth="1"/>
    <col min="13954" max="13954" width="6.23046875" style="1" customWidth="1"/>
    <col min="13955" max="13955" width="9" style="1" customWidth="1"/>
    <col min="13956" max="13956" width="13.3046875" style="1" customWidth="1"/>
    <col min="13957" max="13957" width="9.765625" style="1" customWidth="1"/>
    <col min="13958" max="13959" width="9" style="1" hidden="1" customWidth="1"/>
    <col min="13960" max="14194" width="8.69140625" style="1"/>
    <col min="14195" max="14195" width="9" style="1" customWidth="1"/>
    <col min="14196" max="14196" width="12.69140625" style="1" customWidth="1"/>
    <col min="14197" max="14197" width="12.07421875" style="1" customWidth="1"/>
    <col min="14198" max="14198" width="6.4609375" style="1" customWidth="1"/>
    <col min="14199" max="14199" width="5.4609375" style="1" customWidth="1"/>
    <col min="14200" max="14200" width="9.3046875" style="1" customWidth="1"/>
    <col min="14201" max="14205" width="4.765625" style="1" customWidth="1"/>
    <col min="14206" max="14206" width="6.765625" style="1" customWidth="1"/>
    <col min="14207" max="14207" width="9.3046875" style="1" customWidth="1"/>
    <col min="14208" max="14208" width="9.4609375" style="1" customWidth="1"/>
    <col min="14209" max="14209" width="5.765625" style="1" customWidth="1"/>
    <col min="14210" max="14210" width="6.23046875" style="1" customWidth="1"/>
    <col min="14211" max="14211" width="9" style="1" customWidth="1"/>
    <col min="14212" max="14212" width="13.3046875" style="1" customWidth="1"/>
    <col min="14213" max="14213" width="9.765625" style="1" customWidth="1"/>
    <col min="14214" max="14215" width="9" style="1" hidden="1" customWidth="1"/>
    <col min="14216" max="14450" width="8.69140625" style="1"/>
    <col min="14451" max="14451" width="9" style="1" customWidth="1"/>
    <col min="14452" max="14452" width="12.69140625" style="1" customWidth="1"/>
    <col min="14453" max="14453" width="12.07421875" style="1" customWidth="1"/>
    <col min="14454" max="14454" width="6.4609375" style="1" customWidth="1"/>
    <col min="14455" max="14455" width="5.4609375" style="1" customWidth="1"/>
    <col min="14456" max="14456" width="9.3046875" style="1" customWidth="1"/>
    <col min="14457" max="14461" width="4.765625" style="1" customWidth="1"/>
    <col min="14462" max="14462" width="6.765625" style="1" customWidth="1"/>
    <col min="14463" max="14463" width="9.3046875" style="1" customWidth="1"/>
    <col min="14464" max="14464" width="9.4609375" style="1" customWidth="1"/>
    <col min="14465" max="14465" width="5.765625" style="1" customWidth="1"/>
    <col min="14466" max="14466" width="6.23046875" style="1" customWidth="1"/>
    <col min="14467" max="14467" width="9" style="1" customWidth="1"/>
    <col min="14468" max="14468" width="13.3046875" style="1" customWidth="1"/>
    <col min="14469" max="14469" width="9.765625" style="1" customWidth="1"/>
    <col min="14470" max="14471" width="9" style="1" hidden="1" customWidth="1"/>
    <col min="14472" max="14706" width="8.69140625" style="1"/>
    <col min="14707" max="14707" width="9" style="1" customWidth="1"/>
    <col min="14708" max="14708" width="12.69140625" style="1" customWidth="1"/>
    <col min="14709" max="14709" width="12.07421875" style="1" customWidth="1"/>
    <col min="14710" max="14710" width="6.4609375" style="1" customWidth="1"/>
    <col min="14711" max="14711" width="5.4609375" style="1" customWidth="1"/>
    <col min="14712" max="14712" width="9.3046875" style="1" customWidth="1"/>
    <col min="14713" max="14717" width="4.765625" style="1" customWidth="1"/>
    <col min="14718" max="14718" width="6.765625" style="1" customWidth="1"/>
    <col min="14719" max="14719" width="9.3046875" style="1" customWidth="1"/>
    <col min="14720" max="14720" width="9.4609375" style="1" customWidth="1"/>
    <col min="14721" max="14721" width="5.765625" style="1" customWidth="1"/>
    <col min="14722" max="14722" width="6.23046875" style="1" customWidth="1"/>
    <col min="14723" max="14723" width="9" style="1" customWidth="1"/>
    <col min="14724" max="14724" width="13.3046875" style="1" customWidth="1"/>
    <col min="14725" max="14725" width="9.765625" style="1" customWidth="1"/>
    <col min="14726" max="14727" width="9" style="1" hidden="1" customWidth="1"/>
    <col min="14728" max="14962" width="8.69140625" style="1"/>
    <col min="14963" max="14963" width="9" style="1" customWidth="1"/>
    <col min="14964" max="14964" width="12.69140625" style="1" customWidth="1"/>
    <col min="14965" max="14965" width="12.07421875" style="1" customWidth="1"/>
    <col min="14966" max="14966" width="6.4609375" style="1" customWidth="1"/>
    <col min="14967" max="14967" width="5.4609375" style="1" customWidth="1"/>
    <col min="14968" max="14968" width="9.3046875" style="1" customWidth="1"/>
    <col min="14969" max="14973" width="4.765625" style="1" customWidth="1"/>
    <col min="14974" max="14974" width="6.765625" style="1" customWidth="1"/>
    <col min="14975" max="14975" width="9.3046875" style="1" customWidth="1"/>
    <col min="14976" max="14976" width="9.4609375" style="1" customWidth="1"/>
    <col min="14977" max="14977" width="5.765625" style="1" customWidth="1"/>
    <col min="14978" max="14978" width="6.23046875" style="1" customWidth="1"/>
    <col min="14979" max="14979" width="9" style="1" customWidth="1"/>
    <col min="14980" max="14980" width="13.3046875" style="1" customWidth="1"/>
    <col min="14981" max="14981" width="9.765625" style="1" customWidth="1"/>
    <col min="14982" max="14983" width="9" style="1" hidden="1" customWidth="1"/>
    <col min="14984" max="15218" width="8.69140625" style="1"/>
    <col min="15219" max="15219" width="9" style="1" customWidth="1"/>
    <col min="15220" max="15220" width="12.69140625" style="1" customWidth="1"/>
    <col min="15221" max="15221" width="12.07421875" style="1" customWidth="1"/>
    <col min="15222" max="15222" width="6.4609375" style="1" customWidth="1"/>
    <col min="15223" max="15223" width="5.4609375" style="1" customWidth="1"/>
    <col min="15224" max="15224" width="9.3046875" style="1" customWidth="1"/>
    <col min="15225" max="15229" width="4.765625" style="1" customWidth="1"/>
    <col min="15230" max="15230" width="6.765625" style="1" customWidth="1"/>
    <col min="15231" max="15231" width="9.3046875" style="1" customWidth="1"/>
    <col min="15232" max="15232" width="9.4609375" style="1" customWidth="1"/>
    <col min="15233" max="15233" width="5.765625" style="1" customWidth="1"/>
    <col min="15234" max="15234" width="6.23046875" style="1" customWidth="1"/>
    <col min="15235" max="15235" width="9" style="1" customWidth="1"/>
    <col min="15236" max="15236" width="13.3046875" style="1" customWidth="1"/>
    <col min="15237" max="15237" width="9.765625" style="1" customWidth="1"/>
    <col min="15238" max="15239" width="9" style="1" hidden="1" customWidth="1"/>
    <col min="15240" max="15474" width="8.69140625" style="1"/>
    <col min="15475" max="15475" width="9" style="1" customWidth="1"/>
    <col min="15476" max="15476" width="12.69140625" style="1" customWidth="1"/>
    <col min="15477" max="15477" width="12.07421875" style="1" customWidth="1"/>
    <col min="15478" max="15478" width="6.4609375" style="1" customWidth="1"/>
    <col min="15479" max="15479" width="5.4609375" style="1" customWidth="1"/>
    <col min="15480" max="15480" width="9.3046875" style="1" customWidth="1"/>
    <col min="15481" max="15485" width="4.765625" style="1" customWidth="1"/>
    <col min="15486" max="15486" width="6.765625" style="1" customWidth="1"/>
    <col min="15487" max="15487" width="9.3046875" style="1" customWidth="1"/>
    <col min="15488" max="15488" width="9.4609375" style="1" customWidth="1"/>
    <col min="15489" max="15489" width="5.765625" style="1" customWidth="1"/>
    <col min="15490" max="15490" width="6.23046875" style="1" customWidth="1"/>
    <col min="15491" max="15491" width="9" style="1" customWidth="1"/>
    <col min="15492" max="15492" width="13.3046875" style="1" customWidth="1"/>
    <col min="15493" max="15493" width="9.765625" style="1" customWidth="1"/>
    <col min="15494" max="15495" width="9" style="1" hidden="1" customWidth="1"/>
    <col min="15496" max="15730" width="8.69140625" style="1"/>
    <col min="15731" max="15731" width="9" style="1" customWidth="1"/>
    <col min="15732" max="15732" width="12.69140625" style="1" customWidth="1"/>
    <col min="15733" max="15733" width="12.07421875" style="1" customWidth="1"/>
    <col min="15734" max="15734" width="6.4609375" style="1" customWidth="1"/>
    <col min="15735" max="15735" width="5.4609375" style="1" customWidth="1"/>
    <col min="15736" max="15736" width="9.3046875" style="1" customWidth="1"/>
    <col min="15737" max="15741" width="4.765625" style="1" customWidth="1"/>
    <col min="15742" max="15742" width="6.765625" style="1" customWidth="1"/>
    <col min="15743" max="15743" width="9.3046875" style="1" customWidth="1"/>
    <col min="15744" max="15744" width="9.4609375" style="1" customWidth="1"/>
    <col min="15745" max="15745" width="5.765625" style="1" customWidth="1"/>
    <col min="15746" max="15746" width="6.23046875" style="1" customWidth="1"/>
    <col min="15747" max="15747" width="9" style="1" customWidth="1"/>
    <col min="15748" max="15748" width="13.3046875" style="1" customWidth="1"/>
    <col min="15749" max="15749" width="9.765625" style="1" customWidth="1"/>
    <col min="15750" max="15751" width="9" style="1" hidden="1" customWidth="1"/>
    <col min="15752" max="15986" width="8.69140625" style="1"/>
    <col min="15987" max="15987" width="9" style="1" customWidth="1"/>
    <col min="15988" max="15988" width="12.69140625" style="1" customWidth="1"/>
    <col min="15989" max="15989" width="12.07421875" style="1" customWidth="1"/>
    <col min="15990" max="15990" width="6.4609375" style="1" customWidth="1"/>
    <col min="15991" max="15991" width="5.4609375" style="1" customWidth="1"/>
    <col min="15992" max="15992" width="9.3046875" style="1" customWidth="1"/>
    <col min="15993" max="15997" width="4.765625" style="1" customWidth="1"/>
    <col min="15998" max="15998" width="6.765625" style="1" customWidth="1"/>
    <col min="15999" max="15999" width="9.3046875" style="1" customWidth="1"/>
    <col min="16000" max="16000" width="9.4609375" style="1" customWidth="1"/>
    <col min="16001" max="16001" width="5.765625" style="1" customWidth="1"/>
    <col min="16002" max="16002" width="6.23046875" style="1" customWidth="1"/>
    <col min="16003" max="16003" width="9" style="1" customWidth="1"/>
    <col min="16004" max="16004" width="13.3046875" style="1" customWidth="1"/>
    <col min="16005" max="16005" width="9.765625" style="1" customWidth="1"/>
    <col min="16006" max="16007" width="9" style="1" hidden="1" customWidth="1"/>
    <col min="16008" max="16238" width="8.69140625" style="1"/>
    <col min="16239" max="16240" width="9.07421875" style="1" customWidth="1"/>
    <col min="16241" max="16254" width="8.69140625" style="1"/>
    <col min="16255" max="16383" width="9.07421875" style="1" customWidth="1"/>
    <col min="16384" max="16384" width="9.07421875" style="1"/>
  </cols>
  <sheetData>
    <row r="1" spans="1:21" ht="33.450000000000003" customHeight="1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ht="28.5" customHeight="1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21" s="2" customFormat="1" ht="18" customHeight="1">
      <c r="A3" s="8" t="s">
        <v>2</v>
      </c>
      <c r="B3" s="8"/>
      <c r="C3" s="8"/>
      <c r="D3" s="9"/>
      <c r="E3" s="8"/>
      <c r="F3" s="8"/>
      <c r="G3" s="8"/>
      <c r="H3" s="8"/>
      <c r="I3" s="8"/>
      <c r="J3" s="8"/>
      <c r="K3" s="10"/>
      <c r="L3" s="11"/>
      <c r="M3" s="12"/>
      <c r="N3" s="13"/>
      <c r="O3" s="14"/>
      <c r="P3" s="15"/>
      <c r="Q3" s="12" t="s">
        <v>3</v>
      </c>
      <c r="R3" s="16"/>
      <c r="S3" s="11"/>
      <c r="T3" s="15"/>
      <c r="U3" s="17"/>
    </row>
    <row r="4" spans="1:21" s="3" customFormat="1" ht="16.5" customHeight="1">
      <c r="A4" s="18" t="s">
        <v>4</v>
      </c>
      <c r="B4" s="18" t="s">
        <v>5</v>
      </c>
      <c r="C4" s="18" t="s">
        <v>6</v>
      </c>
      <c r="D4" s="18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/>
      <c r="J4" s="19"/>
      <c r="K4" s="18" t="s">
        <v>12</v>
      </c>
      <c r="L4" s="18" t="s">
        <v>13</v>
      </c>
      <c r="M4" s="18" t="s">
        <v>14</v>
      </c>
      <c r="N4" s="18" t="s">
        <v>15</v>
      </c>
      <c r="O4" s="20" t="s">
        <v>16</v>
      </c>
      <c r="P4" s="20" t="s">
        <v>17</v>
      </c>
      <c r="Q4" s="18" t="s">
        <v>18</v>
      </c>
      <c r="R4" s="83" t="s">
        <v>19</v>
      </c>
      <c r="S4" s="83"/>
      <c r="T4" s="83"/>
      <c r="U4" s="18" t="s">
        <v>20</v>
      </c>
    </row>
    <row r="5" spans="1:21" s="4" customFormat="1" ht="19.100000000000001" customHeight="1">
      <c r="A5" s="76" t="s">
        <v>41</v>
      </c>
      <c r="B5" s="76" t="s">
        <v>22</v>
      </c>
      <c r="C5" s="76" t="s">
        <v>42</v>
      </c>
      <c r="D5" s="22" t="s">
        <v>24</v>
      </c>
      <c r="E5" s="23">
        <v>4</v>
      </c>
      <c r="F5" s="23">
        <v>4</v>
      </c>
      <c r="G5" s="23">
        <v>4</v>
      </c>
      <c r="H5" s="23">
        <v>4</v>
      </c>
      <c r="I5" s="23"/>
      <c r="J5" s="23"/>
      <c r="K5" s="136">
        <v>36</v>
      </c>
      <c r="L5" s="143" t="s">
        <v>43</v>
      </c>
      <c r="M5" s="136">
        <v>47</v>
      </c>
      <c r="N5" s="136">
        <f>M5*K5</f>
        <v>1692</v>
      </c>
      <c r="O5" s="138">
        <v>15</v>
      </c>
      <c r="P5" s="138">
        <v>16</v>
      </c>
      <c r="Q5" s="136">
        <f>P5*M5</f>
        <v>752</v>
      </c>
      <c r="R5" s="134">
        <v>0.5</v>
      </c>
      <c r="S5" s="134">
        <v>0.48</v>
      </c>
      <c r="T5" s="134">
        <v>0.33</v>
      </c>
      <c r="U5" s="134">
        <f>R5*S5*T5*M5</f>
        <v>3.7223999999999999</v>
      </c>
    </row>
    <row r="6" spans="1:21" s="4" customFormat="1" ht="19.100000000000001" customHeight="1">
      <c r="A6" s="77"/>
      <c r="B6" s="77"/>
      <c r="C6" s="77"/>
      <c r="D6" s="22" t="s">
        <v>44</v>
      </c>
      <c r="E6" s="23">
        <v>1</v>
      </c>
      <c r="F6" s="23">
        <v>1</v>
      </c>
      <c r="G6" s="23">
        <v>1</v>
      </c>
      <c r="H6" s="23">
        <v>1</v>
      </c>
      <c r="I6" s="23"/>
      <c r="J6" s="23"/>
      <c r="K6" s="136"/>
      <c r="L6" s="143"/>
      <c r="M6" s="136"/>
      <c r="N6" s="136"/>
      <c r="O6" s="138"/>
      <c r="P6" s="138"/>
      <c r="Q6" s="136"/>
      <c r="R6" s="134"/>
      <c r="S6" s="134"/>
      <c r="T6" s="134"/>
      <c r="U6" s="134"/>
    </row>
    <row r="7" spans="1:21" s="4" customFormat="1" ht="19.100000000000001" customHeight="1">
      <c r="A7" s="77"/>
      <c r="B7" s="77"/>
      <c r="C7" s="77"/>
      <c r="D7" s="22" t="s">
        <v>27</v>
      </c>
      <c r="E7" s="23">
        <v>1</v>
      </c>
      <c r="F7" s="23">
        <v>1</v>
      </c>
      <c r="G7" s="23">
        <v>1</v>
      </c>
      <c r="H7" s="23">
        <v>1</v>
      </c>
      <c r="I7" s="23"/>
      <c r="J7" s="23"/>
      <c r="K7" s="136"/>
      <c r="L7" s="143"/>
      <c r="M7" s="136"/>
      <c r="N7" s="136"/>
      <c r="O7" s="138"/>
      <c r="P7" s="138"/>
      <c r="Q7" s="136"/>
      <c r="R7" s="134"/>
      <c r="S7" s="134"/>
      <c r="T7" s="134"/>
      <c r="U7" s="134"/>
    </row>
    <row r="8" spans="1:21" s="4" customFormat="1" ht="19.100000000000001" customHeight="1">
      <c r="A8" s="77"/>
      <c r="B8" s="77"/>
      <c r="C8" s="77"/>
      <c r="D8" s="22" t="s">
        <v>45</v>
      </c>
      <c r="E8" s="23">
        <v>1</v>
      </c>
      <c r="F8" s="23">
        <v>1</v>
      </c>
      <c r="G8" s="23">
        <v>1</v>
      </c>
      <c r="H8" s="23">
        <v>1</v>
      </c>
      <c r="I8" s="23"/>
      <c r="J8" s="23"/>
      <c r="K8" s="136"/>
      <c r="L8" s="143"/>
      <c r="M8" s="136"/>
      <c r="N8" s="136"/>
      <c r="O8" s="138"/>
      <c r="P8" s="138"/>
      <c r="Q8" s="136"/>
      <c r="R8" s="134"/>
      <c r="S8" s="134"/>
      <c r="T8" s="134"/>
      <c r="U8" s="134"/>
    </row>
    <row r="9" spans="1:21" s="4" customFormat="1" ht="19.100000000000001" customHeight="1">
      <c r="A9" s="77"/>
      <c r="B9" s="77"/>
      <c r="C9" s="77"/>
      <c r="D9" s="33" t="s">
        <v>46</v>
      </c>
      <c r="E9" s="23">
        <v>1</v>
      </c>
      <c r="F9" s="23">
        <v>1</v>
      </c>
      <c r="G9" s="23">
        <v>1</v>
      </c>
      <c r="H9" s="23">
        <v>1</v>
      </c>
      <c r="I9" s="23"/>
      <c r="J9" s="23"/>
      <c r="K9" s="136"/>
      <c r="L9" s="143"/>
      <c r="M9" s="136"/>
      <c r="N9" s="136"/>
      <c r="O9" s="138"/>
      <c r="P9" s="138"/>
      <c r="Q9" s="136"/>
      <c r="R9" s="134"/>
      <c r="S9" s="134"/>
      <c r="T9" s="134"/>
      <c r="U9" s="134"/>
    </row>
    <row r="10" spans="1:21" s="4" customFormat="1" ht="19.100000000000001" customHeight="1">
      <c r="A10" s="77"/>
      <c r="B10" s="77"/>
      <c r="C10" s="77"/>
      <c r="D10" s="34" t="s">
        <v>47</v>
      </c>
      <c r="E10" s="35">
        <v>1</v>
      </c>
      <c r="F10" s="35">
        <v>1</v>
      </c>
      <c r="G10" s="35">
        <v>1</v>
      </c>
      <c r="H10" s="35">
        <v>1</v>
      </c>
      <c r="I10" s="35"/>
      <c r="J10" s="35"/>
      <c r="K10" s="137"/>
      <c r="L10" s="144"/>
      <c r="M10" s="137"/>
      <c r="N10" s="137"/>
      <c r="O10" s="139"/>
      <c r="P10" s="139"/>
      <c r="Q10" s="137"/>
      <c r="R10" s="135"/>
      <c r="S10" s="135"/>
      <c r="T10" s="135"/>
      <c r="U10" s="135"/>
    </row>
    <row r="11" spans="1:21" s="4" customFormat="1" ht="19.100000000000001" customHeight="1">
      <c r="A11" s="76"/>
      <c r="B11" s="76"/>
      <c r="C11" s="76"/>
      <c r="D11" s="22" t="s">
        <v>24</v>
      </c>
      <c r="E11" s="23">
        <v>4</v>
      </c>
      <c r="F11" s="23">
        <v>4</v>
      </c>
      <c r="G11" s="23">
        <v>4</v>
      </c>
      <c r="H11" s="23">
        <v>4</v>
      </c>
      <c r="I11" s="23"/>
      <c r="J11" s="23"/>
      <c r="K11" s="136">
        <v>36</v>
      </c>
      <c r="L11" s="143" t="s">
        <v>48</v>
      </c>
      <c r="M11" s="136">
        <v>18</v>
      </c>
      <c r="N11" s="136">
        <f>M11*K11</f>
        <v>648</v>
      </c>
      <c r="O11" s="138">
        <v>15</v>
      </c>
      <c r="P11" s="138">
        <v>16</v>
      </c>
      <c r="Q11" s="136">
        <f>P11*M11</f>
        <v>288</v>
      </c>
      <c r="R11" s="134">
        <v>0.5</v>
      </c>
      <c r="S11" s="134">
        <v>0.48</v>
      </c>
      <c r="T11" s="134">
        <v>0.33</v>
      </c>
      <c r="U11" s="134">
        <f>R11*S11*T11*M11</f>
        <v>1.4256</v>
      </c>
    </row>
    <row r="12" spans="1:21" s="4" customFormat="1" ht="19.100000000000001" customHeight="1">
      <c r="A12" s="77"/>
      <c r="B12" s="77"/>
      <c r="C12" s="77"/>
      <c r="D12" s="22" t="s">
        <v>44</v>
      </c>
      <c r="E12" s="23">
        <v>1</v>
      </c>
      <c r="F12" s="23">
        <v>1</v>
      </c>
      <c r="G12" s="23">
        <v>1</v>
      </c>
      <c r="H12" s="23">
        <v>1</v>
      </c>
      <c r="I12" s="23"/>
      <c r="J12" s="23"/>
      <c r="K12" s="136"/>
      <c r="L12" s="143"/>
      <c r="M12" s="136"/>
      <c r="N12" s="136"/>
      <c r="O12" s="138"/>
      <c r="P12" s="138"/>
      <c r="Q12" s="136"/>
      <c r="R12" s="134"/>
      <c r="S12" s="134"/>
      <c r="T12" s="134"/>
      <c r="U12" s="134"/>
    </row>
    <row r="13" spans="1:21" s="4" customFormat="1" ht="19.100000000000001" customHeight="1">
      <c r="A13" s="77"/>
      <c r="B13" s="77"/>
      <c r="C13" s="77"/>
      <c r="D13" s="22" t="s">
        <v>27</v>
      </c>
      <c r="E13" s="23">
        <v>1</v>
      </c>
      <c r="F13" s="23">
        <v>1</v>
      </c>
      <c r="G13" s="23">
        <v>1</v>
      </c>
      <c r="H13" s="23">
        <v>1</v>
      </c>
      <c r="I13" s="23"/>
      <c r="J13" s="23"/>
      <c r="K13" s="136"/>
      <c r="L13" s="143"/>
      <c r="M13" s="136"/>
      <c r="N13" s="136"/>
      <c r="O13" s="138"/>
      <c r="P13" s="138"/>
      <c r="Q13" s="136"/>
      <c r="R13" s="134"/>
      <c r="S13" s="134"/>
      <c r="T13" s="134"/>
      <c r="U13" s="134"/>
    </row>
    <row r="14" spans="1:21" s="4" customFormat="1" ht="19.100000000000001" customHeight="1">
      <c r="A14" s="77"/>
      <c r="B14" s="77"/>
      <c r="C14" s="77"/>
      <c r="D14" s="22" t="s">
        <v>45</v>
      </c>
      <c r="E14" s="23">
        <v>1</v>
      </c>
      <c r="F14" s="23">
        <v>1</v>
      </c>
      <c r="G14" s="23">
        <v>1</v>
      </c>
      <c r="H14" s="23">
        <v>1</v>
      </c>
      <c r="I14" s="23"/>
      <c r="J14" s="23"/>
      <c r="K14" s="136"/>
      <c r="L14" s="143"/>
      <c r="M14" s="136"/>
      <c r="N14" s="136"/>
      <c r="O14" s="138"/>
      <c r="P14" s="138"/>
      <c r="Q14" s="136"/>
      <c r="R14" s="134"/>
      <c r="S14" s="134"/>
      <c r="T14" s="134"/>
      <c r="U14" s="134"/>
    </row>
    <row r="15" spans="1:21" s="4" customFormat="1" ht="19.100000000000001" customHeight="1">
      <c r="A15" s="77"/>
      <c r="B15" s="77"/>
      <c r="C15" s="77"/>
      <c r="D15" s="33" t="s">
        <v>49</v>
      </c>
      <c r="E15" s="23">
        <v>1</v>
      </c>
      <c r="F15" s="23">
        <v>1</v>
      </c>
      <c r="G15" s="23">
        <v>1</v>
      </c>
      <c r="H15" s="23">
        <v>1</v>
      </c>
      <c r="I15" s="23"/>
      <c r="J15" s="23"/>
      <c r="K15" s="136"/>
      <c r="L15" s="143"/>
      <c r="M15" s="136"/>
      <c r="N15" s="136"/>
      <c r="O15" s="138"/>
      <c r="P15" s="138"/>
      <c r="Q15" s="136"/>
      <c r="R15" s="134"/>
      <c r="S15" s="134"/>
      <c r="T15" s="134"/>
      <c r="U15" s="134"/>
    </row>
    <row r="16" spans="1:21" s="4" customFormat="1" ht="19.100000000000001" customHeight="1">
      <c r="A16" s="77"/>
      <c r="B16" s="77"/>
      <c r="C16" s="77"/>
      <c r="D16" s="34" t="s">
        <v>47</v>
      </c>
      <c r="E16" s="35">
        <v>1</v>
      </c>
      <c r="F16" s="35">
        <v>1</v>
      </c>
      <c r="G16" s="35">
        <v>1</v>
      </c>
      <c r="H16" s="35">
        <v>1</v>
      </c>
      <c r="I16" s="35"/>
      <c r="J16" s="35"/>
      <c r="K16" s="137"/>
      <c r="L16" s="144"/>
      <c r="M16" s="137"/>
      <c r="N16" s="137"/>
      <c r="O16" s="139"/>
      <c r="P16" s="139"/>
      <c r="Q16" s="137"/>
      <c r="R16" s="135"/>
      <c r="S16" s="135"/>
      <c r="T16" s="135"/>
      <c r="U16" s="135"/>
    </row>
    <row r="17" spans="1:21" s="4" customFormat="1" ht="19.100000000000001" customHeight="1">
      <c r="A17" s="77"/>
      <c r="B17" s="77"/>
      <c r="C17" s="77"/>
      <c r="D17" s="22" t="s">
        <v>24</v>
      </c>
      <c r="E17" s="23">
        <v>4</v>
      </c>
      <c r="F17" s="23">
        <v>4</v>
      </c>
      <c r="G17" s="23">
        <v>4</v>
      </c>
      <c r="H17" s="23">
        <v>4</v>
      </c>
      <c r="I17" s="23"/>
      <c r="J17" s="23"/>
      <c r="K17" s="136">
        <v>36</v>
      </c>
      <c r="L17" s="143" t="s">
        <v>50</v>
      </c>
      <c r="M17" s="136">
        <v>1</v>
      </c>
      <c r="N17" s="136">
        <f>M17*K17</f>
        <v>36</v>
      </c>
      <c r="O17" s="138">
        <v>15</v>
      </c>
      <c r="P17" s="138">
        <v>16</v>
      </c>
      <c r="Q17" s="136">
        <f>P17*M17</f>
        <v>16</v>
      </c>
      <c r="R17" s="134">
        <v>0.5</v>
      </c>
      <c r="S17" s="134">
        <v>0.48</v>
      </c>
      <c r="T17" s="134">
        <v>0.33</v>
      </c>
      <c r="U17" s="134">
        <f>R17*S17*T17*M17</f>
        <v>7.9200000000000007E-2</v>
      </c>
    </row>
    <row r="18" spans="1:21" s="4" customFormat="1" ht="19.100000000000001" customHeight="1">
      <c r="A18" s="77"/>
      <c r="B18" s="77"/>
      <c r="C18" s="77"/>
      <c r="D18" s="33" t="s">
        <v>51</v>
      </c>
      <c r="E18" s="23">
        <v>1</v>
      </c>
      <c r="F18" s="23">
        <v>1</v>
      </c>
      <c r="G18" s="23">
        <v>1</v>
      </c>
      <c r="H18" s="23">
        <v>1</v>
      </c>
      <c r="I18" s="23"/>
      <c r="J18" s="23"/>
      <c r="K18" s="136"/>
      <c r="L18" s="143"/>
      <c r="M18" s="136"/>
      <c r="N18" s="136"/>
      <c r="O18" s="138"/>
      <c r="P18" s="138"/>
      <c r="Q18" s="136"/>
      <c r="R18" s="134"/>
      <c r="S18" s="134"/>
      <c r="T18" s="134"/>
      <c r="U18" s="134"/>
    </row>
    <row r="19" spans="1:21" s="4" customFormat="1" ht="19.100000000000001" customHeight="1">
      <c r="A19" s="77"/>
      <c r="B19" s="77"/>
      <c r="C19" s="77"/>
      <c r="D19" s="22" t="s">
        <v>27</v>
      </c>
      <c r="E19" s="23">
        <v>1</v>
      </c>
      <c r="F19" s="23">
        <v>1</v>
      </c>
      <c r="G19" s="23">
        <v>1</v>
      </c>
      <c r="H19" s="23">
        <v>1</v>
      </c>
      <c r="I19" s="23"/>
      <c r="J19" s="23"/>
      <c r="K19" s="136"/>
      <c r="L19" s="143"/>
      <c r="M19" s="136"/>
      <c r="N19" s="136"/>
      <c r="O19" s="138"/>
      <c r="P19" s="138"/>
      <c r="Q19" s="136"/>
      <c r="R19" s="134"/>
      <c r="S19" s="134"/>
      <c r="T19" s="134"/>
      <c r="U19" s="134"/>
    </row>
    <row r="20" spans="1:21" s="4" customFormat="1" ht="19.100000000000001" customHeight="1">
      <c r="A20" s="77"/>
      <c r="B20" s="77"/>
      <c r="C20" s="77"/>
      <c r="D20" s="22" t="s">
        <v>45</v>
      </c>
      <c r="E20" s="23">
        <v>1</v>
      </c>
      <c r="F20" s="23">
        <v>1</v>
      </c>
      <c r="G20" s="23">
        <v>1</v>
      </c>
      <c r="H20" s="23">
        <v>1</v>
      </c>
      <c r="I20" s="23"/>
      <c r="J20" s="23"/>
      <c r="K20" s="136"/>
      <c r="L20" s="143"/>
      <c r="M20" s="136"/>
      <c r="N20" s="136"/>
      <c r="O20" s="138"/>
      <c r="P20" s="138"/>
      <c r="Q20" s="136"/>
      <c r="R20" s="134"/>
      <c r="S20" s="134"/>
      <c r="T20" s="134"/>
      <c r="U20" s="134"/>
    </row>
    <row r="21" spans="1:21" s="4" customFormat="1" ht="19.100000000000001" customHeight="1">
      <c r="A21" s="77"/>
      <c r="B21" s="77"/>
      <c r="C21" s="77"/>
      <c r="D21" s="22" t="s">
        <v>32</v>
      </c>
      <c r="E21" s="23">
        <v>1</v>
      </c>
      <c r="F21" s="23">
        <v>1</v>
      </c>
      <c r="G21" s="23">
        <v>1</v>
      </c>
      <c r="H21" s="23">
        <v>1</v>
      </c>
      <c r="I21" s="23"/>
      <c r="J21" s="23"/>
      <c r="K21" s="136"/>
      <c r="L21" s="143"/>
      <c r="M21" s="136"/>
      <c r="N21" s="136"/>
      <c r="O21" s="138"/>
      <c r="P21" s="138"/>
      <c r="Q21" s="136"/>
      <c r="R21" s="134"/>
      <c r="S21" s="134"/>
      <c r="T21" s="134"/>
      <c r="U21" s="134"/>
    </row>
    <row r="22" spans="1:21" s="4" customFormat="1" ht="19.100000000000001" customHeight="1">
      <c r="A22" s="78"/>
      <c r="B22" s="78"/>
      <c r="C22" s="78"/>
      <c r="D22" s="34" t="s">
        <v>30</v>
      </c>
      <c r="E22" s="35">
        <v>1</v>
      </c>
      <c r="F22" s="35">
        <v>1</v>
      </c>
      <c r="G22" s="35">
        <v>1</v>
      </c>
      <c r="H22" s="35">
        <v>1</v>
      </c>
      <c r="I22" s="35"/>
      <c r="J22" s="35"/>
      <c r="K22" s="137"/>
      <c r="L22" s="144"/>
      <c r="M22" s="137"/>
      <c r="N22" s="137"/>
      <c r="O22" s="139"/>
      <c r="P22" s="139"/>
      <c r="Q22" s="137"/>
      <c r="R22" s="135"/>
      <c r="S22" s="135"/>
      <c r="T22" s="135"/>
      <c r="U22" s="135"/>
    </row>
    <row r="23" spans="1:21" s="4" customFormat="1" ht="19.100000000000001" customHeight="1">
      <c r="A23" s="77" t="s">
        <v>41</v>
      </c>
      <c r="B23" s="77" t="s">
        <v>22</v>
      </c>
      <c r="C23" s="77" t="s">
        <v>42</v>
      </c>
      <c r="D23" s="36" t="s">
        <v>24</v>
      </c>
      <c r="E23" s="24">
        <v>1</v>
      </c>
      <c r="F23" s="24">
        <v>1</v>
      </c>
      <c r="G23" s="24">
        <v>1</v>
      </c>
      <c r="H23" s="24">
        <v>1</v>
      </c>
      <c r="I23" s="24"/>
      <c r="J23" s="24"/>
      <c r="K23" s="78">
        <v>36</v>
      </c>
      <c r="L23" s="140" t="s">
        <v>52</v>
      </c>
      <c r="M23" s="78">
        <v>3</v>
      </c>
      <c r="N23" s="78">
        <f>M23*K23</f>
        <v>108</v>
      </c>
      <c r="O23" s="75">
        <v>15</v>
      </c>
      <c r="P23" s="75">
        <v>16</v>
      </c>
      <c r="Q23" s="78">
        <f>P23*M23</f>
        <v>48</v>
      </c>
      <c r="R23" s="70">
        <v>0.5</v>
      </c>
      <c r="S23" s="70">
        <v>0.45</v>
      </c>
      <c r="T23" s="70">
        <v>0.33</v>
      </c>
      <c r="U23" s="70">
        <f>R23*S23*T23*M23</f>
        <v>0.22275</v>
      </c>
    </row>
    <row r="24" spans="1:21" s="4" customFormat="1" ht="19.100000000000001" customHeight="1">
      <c r="A24" s="77"/>
      <c r="B24" s="77"/>
      <c r="C24" s="77"/>
      <c r="D24" s="33" t="s">
        <v>51</v>
      </c>
      <c r="E24" s="23">
        <v>2</v>
      </c>
      <c r="F24" s="23">
        <v>2</v>
      </c>
      <c r="G24" s="23">
        <v>2</v>
      </c>
      <c r="H24" s="23">
        <v>2</v>
      </c>
      <c r="I24" s="23"/>
      <c r="J24" s="23"/>
      <c r="K24" s="136"/>
      <c r="L24" s="141"/>
      <c r="M24" s="136"/>
      <c r="N24" s="136"/>
      <c r="O24" s="138"/>
      <c r="P24" s="138"/>
      <c r="Q24" s="136"/>
      <c r="R24" s="134"/>
      <c r="S24" s="134"/>
      <c r="T24" s="134"/>
      <c r="U24" s="134"/>
    </row>
    <row r="25" spans="1:21" s="4" customFormat="1" ht="19.100000000000001" customHeight="1">
      <c r="A25" s="77"/>
      <c r="B25" s="77"/>
      <c r="C25" s="77"/>
      <c r="D25" s="33" t="s">
        <v>27</v>
      </c>
      <c r="E25" s="23">
        <v>1</v>
      </c>
      <c r="F25" s="23">
        <v>1</v>
      </c>
      <c r="G25" s="23">
        <v>1</v>
      </c>
      <c r="H25" s="23">
        <v>1</v>
      </c>
      <c r="I25" s="23"/>
      <c r="J25" s="23"/>
      <c r="K25" s="136"/>
      <c r="L25" s="141"/>
      <c r="M25" s="136"/>
      <c r="N25" s="136"/>
      <c r="O25" s="138"/>
      <c r="P25" s="138"/>
      <c r="Q25" s="136"/>
      <c r="R25" s="134"/>
      <c r="S25" s="134"/>
      <c r="T25" s="134"/>
      <c r="U25" s="134"/>
    </row>
    <row r="26" spans="1:21" s="4" customFormat="1" ht="19.100000000000001" customHeight="1">
      <c r="A26" s="77"/>
      <c r="B26" s="77"/>
      <c r="C26" s="77"/>
      <c r="D26" s="33" t="s">
        <v>45</v>
      </c>
      <c r="E26" s="23">
        <v>2</v>
      </c>
      <c r="F26" s="23">
        <v>2</v>
      </c>
      <c r="G26" s="23">
        <v>2</v>
      </c>
      <c r="H26" s="23">
        <v>2</v>
      </c>
      <c r="I26" s="23"/>
      <c r="J26" s="23"/>
      <c r="K26" s="136"/>
      <c r="L26" s="141"/>
      <c r="M26" s="136"/>
      <c r="N26" s="136"/>
      <c r="O26" s="138"/>
      <c r="P26" s="138"/>
      <c r="Q26" s="136"/>
      <c r="R26" s="134"/>
      <c r="S26" s="134"/>
      <c r="T26" s="134"/>
      <c r="U26" s="134"/>
    </row>
    <row r="27" spans="1:21" s="4" customFormat="1" ht="19.100000000000001" customHeight="1">
      <c r="A27" s="77"/>
      <c r="B27" s="77"/>
      <c r="C27" s="77"/>
      <c r="D27" s="33" t="s">
        <v>46</v>
      </c>
      <c r="E27" s="23">
        <v>2</v>
      </c>
      <c r="F27" s="23">
        <v>2</v>
      </c>
      <c r="G27" s="23">
        <v>2</v>
      </c>
      <c r="H27" s="23">
        <v>2</v>
      </c>
      <c r="I27" s="23"/>
      <c r="J27" s="23"/>
      <c r="K27" s="136"/>
      <c r="L27" s="141"/>
      <c r="M27" s="136"/>
      <c r="N27" s="136"/>
      <c r="O27" s="138"/>
      <c r="P27" s="138"/>
      <c r="Q27" s="136"/>
      <c r="R27" s="134"/>
      <c r="S27" s="134"/>
      <c r="T27" s="134"/>
      <c r="U27" s="134"/>
    </row>
    <row r="28" spans="1:21" s="4" customFormat="1" ht="19.100000000000001" customHeight="1">
      <c r="A28" s="77"/>
      <c r="B28" s="77"/>
      <c r="C28" s="77"/>
      <c r="D28" s="37" t="s">
        <v>47</v>
      </c>
      <c r="E28" s="35">
        <v>1</v>
      </c>
      <c r="F28" s="35">
        <v>1</v>
      </c>
      <c r="G28" s="35">
        <v>1</v>
      </c>
      <c r="H28" s="35">
        <v>1</v>
      </c>
      <c r="I28" s="35"/>
      <c r="J28" s="35"/>
      <c r="K28" s="137"/>
      <c r="L28" s="142"/>
      <c r="M28" s="137"/>
      <c r="N28" s="137"/>
      <c r="O28" s="139"/>
      <c r="P28" s="139"/>
      <c r="Q28" s="137"/>
      <c r="R28" s="135"/>
      <c r="S28" s="135"/>
      <c r="T28" s="135"/>
      <c r="U28" s="135"/>
    </row>
    <row r="29" spans="1:21" s="4" customFormat="1" ht="19.100000000000001" customHeight="1">
      <c r="A29" s="77"/>
      <c r="B29" s="77"/>
      <c r="C29" s="77"/>
      <c r="D29" s="38" t="s">
        <v>24</v>
      </c>
      <c r="E29" s="24">
        <v>1</v>
      </c>
      <c r="F29" s="24">
        <v>1</v>
      </c>
      <c r="G29" s="24">
        <v>1</v>
      </c>
      <c r="H29" s="24">
        <v>1</v>
      </c>
      <c r="I29" s="24"/>
      <c r="J29" s="24"/>
      <c r="K29" s="78">
        <v>36</v>
      </c>
      <c r="L29" s="140" t="s">
        <v>53</v>
      </c>
      <c r="M29" s="78">
        <v>2</v>
      </c>
      <c r="N29" s="78">
        <f>M29*K29</f>
        <v>72</v>
      </c>
      <c r="O29" s="75">
        <v>15</v>
      </c>
      <c r="P29" s="75">
        <v>16</v>
      </c>
      <c r="Q29" s="78">
        <f>P29*M29</f>
        <v>32</v>
      </c>
      <c r="R29" s="70">
        <v>0.5</v>
      </c>
      <c r="S29" s="70">
        <v>0.45</v>
      </c>
      <c r="T29" s="70">
        <v>0.33</v>
      </c>
      <c r="U29" s="70">
        <f>R29*S29*T29*M29</f>
        <v>0.14849999999999999</v>
      </c>
    </row>
    <row r="30" spans="1:21" s="4" customFormat="1" ht="19.100000000000001" customHeight="1">
      <c r="A30" s="77"/>
      <c r="B30" s="77"/>
      <c r="C30" s="77"/>
      <c r="D30" s="33" t="s">
        <v>51</v>
      </c>
      <c r="E30" s="23">
        <v>1</v>
      </c>
      <c r="F30" s="23">
        <v>1</v>
      </c>
      <c r="G30" s="23">
        <v>1</v>
      </c>
      <c r="H30" s="23">
        <v>1</v>
      </c>
      <c r="I30" s="23"/>
      <c r="J30" s="23"/>
      <c r="K30" s="136"/>
      <c r="L30" s="141"/>
      <c r="M30" s="136"/>
      <c r="N30" s="136"/>
      <c r="O30" s="138"/>
      <c r="P30" s="138"/>
      <c r="Q30" s="136"/>
      <c r="R30" s="134"/>
      <c r="S30" s="134"/>
      <c r="T30" s="134"/>
      <c r="U30" s="134"/>
    </row>
    <row r="31" spans="1:21" s="4" customFormat="1" ht="19.100000000000001" customHeight="1">
      <c r="A31" s="77"/>
      <c r="B31" s="77"/>
      <c r="C31" s="77"/>
      <c r="D31" s="33" t="s">
        <v>27</v>
      </c>
      <c r="E31" s="23">
        <v>1</v>
      </c>
      <c r="F31" s="23">
        <v>1</v>
      </c>
      <c r="G31" s="23">
        <v>1</v>
      </c>
      <c r="H31" s="23">
        <v>1</v>
      </c>
      <c r="I31" s="23"/>
      <c r="J31" s="23"/>
      <c r="K31" s="136"/>
      <c r="L31" s="141"/>
      <c r="M31" s="136"/>
      <c r="N31" s="136"/>
      <c r="O31" s="138"/>
      <c r="P31" s="138"/>
      <c r="Q31" s="136"/>
      <c r="R31" s="134"/>
      <c r="S31" s="134"/>
      <c r="T31" s="134"/>
      <c r="U31" s="134"/>
    </row>
    <row r="32" spans="1:21" s="4" customFormat="1" ht="19.100000000000001" customHeight="1">
      <c r="A32" s="77"/>
      <c r="B32" s="77"/>
      <c r="C32" s="77"/>
      <c r="D32" s="33" t="s">
        <v>45</v>
      </c>
      <c r="E32" s="23">
        <v>2</v>
      </c>
      <c r="F32" s="23">
        <v>2</v>
      </c>
      <c r="G32" s="23">
        <v>2</v>
      </c>
      <c r="H32" s="23">
        <v>2</v>
      </c>
      <c r="I32" s="23"/>
      <c r="J32" s="23"/>
      <c r="K32" s="136"/>
      <c r="L32" s="141"/>
      <c r="M32" s="136"/>
      <c r="N32" s="136"/>
      <c r="O32" s="138"/>
      <c r="P32" s="138"/>
      <c r="Q32" s="136"/>
      <c r="R32" s="134"/>
      <c r="S32" s="134"/>
      <c r="T32" s="134"/>
      <c r="U32" s="134"/>
    </row>
    <row r="33" spans="1:21" s="4" customFormat="1" ht="19.100000000000001" customHeight="1">
      <c r="A33" s="77"/>
      <c r="B33" s="77"/>
      <c r="C33" s="77"/>
      <c r="D33" s="33" t="s">
        <v>46</v>
      </c>
      <c r="E33" s="23">
        <v>2</v>
      </c>
      <c r="F33" s="23">
        <v>2</v>
      </c>
      <c r="G33" s="23">
        <v>2</v>
      </c>
      <c r="H33" s="23">
        <v>2</v>
      </c>
      <c r="I33" s="23"/>
      <c r="J33" s="23"/>
      <c r="K33" s="136"/>
      <c r="L33" s="141"/>
      <c r="M33" s="136"/>
      <c r="N33" s="136"/>
      <c r="O33" s="138"/>
      <c r="P33" s="138"/>
      <c r="Q33" s="136"/>
      <c r="R33" s="134"/>
      <c r="S33" s="134"/>
      <c r="T33" s="134"/>
      <c r="U33" s="134"/>
    </row>
    <row r="34" spans="1:21" s="4" customFormat="1" ht="19.100000000000001" customHeight="1">
      <c r="A34" s="77"/>
      <c r="B34" s="77"/>
      <c r="C34" s="77"/>
      <c r="D34" s="37" t="s">
        <v>30</v>
      </c>
      <c r="E34" s="35">
        <v>2</v>
      </c>
      <c r="F34" s="35">
        <v>2</v>
      </c>
      <c r="G34" s="35">
        <v>2</v>
      </c>
      <c r="H34" s="35">
        <v>2</v>
      </c>
      <c r="I34" s="35"/>
      <c r="J34" s="35"/>
      <c r="K34" s="137"/>
      <c r="L34" s="142"/>
      <c r="M34" s="137"/>
      <c r="N34" s="137"/>
      <c r="O34" s="139"/>
      <c r="P34" s="139"/>
      <c r="Q34" s="137"/>
      <c r="R34" s="135"/>
      <c r="S34" s="135"/>
      <c r="T34" s="135"/>
      <c r="U34" s="135"/>
    </row>
    <row r="35" spans="1:21" s="4" customFormat="1" ht="19.100000000000001" customHeight="1">
      <c r="A35" s="77"/>
      <c r="B35" s="77"/>
      <c r="C35" s="77"/>
      <c r="D35" s="38" t="s">
        <v>51</v>
      </c>
      <c r="E35" s="24">
        <v>1</v>
      </c>
      <c r="F35" s="24">
        <v>1</v>
      </c>
      <c r="G35" s="24">
        <v>1</v>
      </c>
      <c r="H35" s="24">
        <v>1</v>
      </c>
      <c r="I35" s="24"/>
      <c r="J35" s="24"/>
      <c r="K35" s="78">
        <v>36</v>
      </c>
      <c r="L35" s="140" t="s">
        <v>54</v>
      </c>
      <c r="M35" s="78">
        <v>3</v>
      </c>
      <c r="N35" s="78">
        <f>M35*K35</f>
        <v>108</v>
      </c>
      <c r="O35" s="75">
        <v>15</v>
      </c>
      <c r="P35" s="75">
        <v>16</v>
      </c>
      <c r="Q35" s="78">
        <f>P35*M35</f>
        <v>48</v>
      </c>
      <c r="R35" s="70">
        <v>0.5</v>
      </c>
      <c r="S35" s="70">
        <v>0.45</v>
      </c>
      <c r="T35" s="70">
        <v>0.33</v>
      </c>
      <c r="U35" s="70">
        <f>R35*S35*T35*M35</f>
        <v>0.22275</v>
      </c>
    </row>
    <row r="36" spans="1:21" s="4" customFormat="1" ht="19.100000000000001" customHeight="1">
      <c r="A36" s="77"/>
      <c r="B36" s="77"/>
      <c r="C36" s="77"/>
      <c r="D36" s="33" t="s">
        <v>30</v>
      </c>
      <c r="E36" s="23">
        <v>1</v>
      </c>
      <c r="F36" s="23">
        <v>1</v>
      </c>
      <c r="G36" s="23">
        <v>1</v>
      </c>
      <c r="H36" s="23">
        <v>1</v>
      </c>
      <c r="I36" s="23"/>
      <c r="J36" s="23"/>
      <c r="K36" s="136"/>
      <c r="L36" s="141"/>
      <c r="M36" s="136"/>
      <c r="N36" s="136"/>
      <c r="O36" s="138"/>
      <c r="P36" s="138"/>
      <c r="Q36" s="136"/>
      <c r="R36" s="134"/>
      <c r="S36" s="134"/>
      <c r="T36" s="134"/>
      <c r="U36" s="134"/>
    </row>
    <row r="37" spans="1:21" s="4" customFormat="1" ht="19.100000000000001" customHeight="1">
      <c r="A37" s="77"/>
      <c r="B37" s="77"/>
      <c r="C37" s="77"/>
      <c r="D37" s="33" t="s">
        <v>46</v>
      </c>
      <c r="E37" s="39">
        <v>2</v>
      </c>
      <c r="F37" s="39">
        <v>2</v>
      </c>
      <c r="G37" s="39">
        <v>2</v>
      </c>
      <c r="H37" s="39">
        <v>2</v>
      </c>
      <c r="I37" s="23"/>
      <c r="J37" s="23"/>
      <c r="K37" s="136"/>
      <c r="L37" s="141"/>
      <c r="M37" s="136"/>
      <c r="N37" s="136"/>
      <c r="O37" s="138"/>
      <c r="P37" s="138"/>
      <c r="Q37" s="136"/>
      <c r="R37" s="134"/>
      <c r="S37" s="134"/>
      <c r="T37" s="134"/>
      <c r="U37" s="134"/>
    </row>
    <row r="38" spans="1:21" s="4" customFormat="1" ht="19.100000000000001" customHeight="1">
      <c r="A38" s="77"/>
      <c r="B38" s="77"/>
      <c r="C38" s="77"/>
      <c r="D38" s="33" t="s">
        <v>45</v>
      </c>
      <c r="E38" s="39">
        <v>2</v>
      </c>
      <c r="F38" s="39">
        <v>2</v>
      </c>
      <c r="G38" s="39">
        <v>2</v>
      </c>
      <c r="H38" s="39">
        <v>2</v>
      </c>
      <c r="I38" s="23"/>
      <c r="J38" s="23"/>
      <c r="K38" s="136"/>
      <c r="L38" s="141"/>
      <c r="M38" s="136"/>
      <c r="N38" s="136"/>
      <c r="O38" s="138"/>
      <c r="P38" s="138"/>
      <c r="Q38" s="136"/>
      <c r="R38" s="134"/>
      <c r="S38" s="134"/>
      <c r="T38" s="134"/>
      <c r="U38" s="134"/>
    </row>
    <row r="39" spans="1:21" s="4" customFormat="1" ht="19.100000000000001" customHeight="1">
      <c r="A39" s="77"/>
      <c r="B39" s="77"/>
      <c r="C39" s="77"/>
      <c r="D39" s="33" t="s">
        <v>27</v>
      </c>
      <c r="E39" s="39">
        <v>3</v>
      </c>
      <c r="F39" s="39">
        <v>3</v>
      </c>
      <c r="G39" s="39">
        <v>3</v>
      </c>
      <c r="H39" s="39">
        <v>3</v>
      </c>
      <c r="I39" s="23"/>
      <c r="J39" s="23"/>
      <c r="K39" s="136"/>
      <c r="L39" s="141"/>
      <c r="M39" s="136"/>
      <c r="N39" s="136"/>
      <c r="O39" s="138"/>
      <c r="P39" s="138"/>
      <c r="Q39" s="136"/>
      <c r="R39" s="134"/>
      <c r="S39" s="134"/>
      <c r="T39" s="134"/>
      <c r="U39" s="134"/>
    </row>
    <row r="40" spans="1:21" s="4" customFormat="1" ht="19.100000000000001" customHeight="1">
      <c r="A40" s="77"/>
      <c r="B40" s="77"/>
      <c r="C40" s="77"/>
      <c r="D40" s="37"/>
      <c r="E40" s="35"/>
      <c r="F40" s="35"/>
      <c r="G40" s="35"/>
      <c r="H40" s="35"/>
      <c r="I40" s="35"/>
      <c r="J40" s="35"/>
      <c r="K40" s="137"/>
      <c r="L40" s="142"/>
      <c r="M40" s="137"/>
      <c r="N40" s="137"/>
      <c r="O40" s="139"/>
      <c r="P40" s="139"/>
      <c r="Q40" s="137"/>
      <c r="R40" s="135"/>
      <c r="S40" s="135"/>
      <c r="T40" s="135"/>
      <c r="U40" s="135"/>
    </row>
    <row r="41" spans="1:21" s="4" customFormat="1" ht="19.100000000000001" customHeight="1">
      <c r="A41" s="77"/>
      <c r="B41" s="77"/>
      <c r="C41" s="77"/>
      <c r="D41" s="38" t="s">
        <v>51</v>
      </c>
      <c r="E41" s="24">
        <v>2</v>
      </c>
      <c r="F41" s="24">
        <v>2</v>
      </c>
      <c r="G41" s="24">
        <v>2</v>
      </c>
      <c r="H41" s="24">
        <v>2</v>
      </c>
      <c r="I41" s="24"/>
      <c r="J41" s="24"/>
      <c r="K41" s="78">
        <v>36</v>
      </c>
      <c r="L41" s="140" t="s">
        <v>55</v>
      </c>
      <c r="M41" s="78">
        <v>4</v>
      </c>
      <c r="N41" s="78">
        <f>M41*K41</f>
        <v>144</v>
      </c>
      <c r="O41" s="75">
        <v>15</v>
      </c>
      <c r="P41" s="75">
        <v>16</v>
      </c>
      <c r="Q41" s="78">
        <f>P41*M41</f>
        <v>64</v>
      </c>
      <c r="R41" s="70">
        <v>0.5</v>
      </c>
      <c r="S41" s="70">
        <v>0.45</v>
      </c>
      <c r="T41" s="70">
        <v>0.33</v>
      </c>
      <c r="U41" s="70">
        <f>R41*S41*T41*M41</f>
        <v>0.29699999999999999</v>
      </c>
    </row>
    <row r="42" spans="1:21" s="4" customFormat="1" ht="19.100000000000001" customHeight="1">
      <c r="A42" s="77"/>
      <c r="B42" s="77"/>
      <c r="C42" s="77"/>
      <c r="D42" s="33" t="s">
        <v>30</v>
      </c>
      <c r="E42" s="23">
        <v>2</v>
      </c>
      <c r="F42" s="23">
        <v>2</v>
      </c>
      <c r="G42" s="23">
        <v>2</v>
      </c>
      <c r="H42" s="23">
        <v>2</v>
      </c>
      <c r="I42" s="23"/>
      <c r="J42" s="23"/>
      <c r="K42" s="136"/>
      <c r="L42" s="141"/>
      <c r="M42" s="136"/>
      <c r="N42" s="136"/>
      <c r="O42" s="138"/>
      <c r="P42" s="138"/>
      <c r="Q42" s="136"/>
      <c r="R42" s="134"/>
      <c r="S42" s="134"/>
      <c r="T42" s="134"/>
      <c r="U42" s="134"/>
    </row>
    <row r="43" spans="1:21" s="4" customFormat="1" ht="19.100000000000001" customHeight="1">
      <c r="A43" s="77"/>
      <c r="B43" s="77"/>
      <c r="C43" s="77"/>
      <c r="D43" s="33" t="s">
        <v>46</v>
      </c>
      <c r="E43" s="23">
        <v>1</v>
      </c>
      <c r="F43" s="23">
        <v>1</v>
      </c>
      <c r="G43" s="23">
        <v>1</v>
      </c>
      <c r="H43" s="23">
        <v>1</v>
      </c>
      <c r="I43" s="23"/>
      <c r="J43" s="23"/>
      <c r="K43" s="136"/>
      <c r="L43" s="141"/>
      <c r="M43" s="136"/>
      <c r="N43" s="136"/>
      <c r="O43" s="138"/>
      <c r="P43" s="138"/>
      <c r="Q43" s="136"/>
      <c r="R43" s="134"/>
      <c r="S43" s="134"/>
      <c r="T43" s="134"/>
      <c r="U43" s="134"/>
    </row>
    <row r="44" spans="1:21" s="4" customFormat="1" ht="19.100000000000001" customHeight="1">
      <c r="A44" s="77"/>
      <c r="B44" s="77"/>
      <c r="C44" s="77"/>
      <c r="D44" s="33" t="s">
        <v>45</v>
      </c>
      <c r="E44" s="23">
        <v>2</v>
      </c>
      <c r="F44" s="23">
        <v>2</v>
      </c>
      <c r="G44" s="23">
        <v>2</v>
      </c>
      <c r="H44" s="23">
        <v>2</v>
      </c>
      <c r="I44" s="23"/>
      <c r="J44" s="23"/>
      <c r="K44" s="136"/>
      <c r="L44" s="141"/>
      <c r="M44" s="136"/>
      <c r="N44" s="136"/>
      <c r="O44" s="138"/>
      <c r="P44" s="138"/>
      <c r="Q44" s="136"/>
      <c r="R44" s="134"/>
      <c r="S44" s="134"/>
      <c r="T44" s="134"/>
      <c r="U44" s="134"/>
    </row>
    <row r="45" spans="1:21" s="4" customFormat="1" ht="19.100000000000001" customHeight="1">
      <c r="A45" s="77"/>
      <c r="B45" s="77"/>
      <c r="C45" s="77"/>
      <c r="D45" s="33" t="s">
        <v>27</v>
      </c>
      <c r="E45" s="23">
        <v>2</v>
      </c>
      <c r="F45" s="23">
        <v>2</v>
      </c>
      <c r="G45" s="23">
        <v>2</v>
      </c>
      <c r="H45" s="23">
        <v>2</v>
      </c>
      <c r="I45" s="23"/>
      <c r="J45" s="23"/>
      <c r="K45" s="136"/>
      <c r="L45" s="141"/>
      <c r="M45" s="136"/>
      <c r="N45" s="136"/>
      <c r="O45" s="138"/>
      <c r="P45" s="138"/>
      <c r="Q45" s="136"/>
      <c r="R45" s="134"/>
      <c r="S45" s="134"/>
      <c r="T45" s="134"/>
      <c r="U45" s="134"/>
    </row>
    <row r="46" spans="1:21" s="4" customFormat="1" ht="19.100000000000001" customHeight="1">
      <c r="A46" s="77"/>
      <c r="B46" s="77"/>
      <c r="C46" s="77"/>
      <c r="D46" s="37"/>
      <c r="E46" s="35"/>
      <c r="F46" s="35"/>
      <c r="G46" s="35"/>
      <c r="H46" s="35"/>
      <c r="I46" s="35"/>
      <c r="J46" s="35"/>
      <c r="K46" s="137"/>
      <c r="L46" s="142"/>
      <c r="M46" s="137"/>
      <c r="N46" s="137"/>
      <c r="O46" s="139"/>
      <c r="P46" s="139"/>
      <c r="Q46" s="137"/>
      <c r="R46" s="135"/>
      <c r="S46" s="135"/>
      <c r="T46" s="135"/>
      <c r="U46" s="135"/>
    </row>
    <row r="47" spans="1:21" s="4" customFormat="1" ht="19.100000000000001" customHeight="1">
      <c r="A47" s="77"/>
      <c r="B47" s="77"/>
      <c r="C47" s="77"/>
      <c r="D47" s="38" t="s">
        <v>51</v>
      </c>
      <c r="E47" s="24">
        <v>1</v>
      </c>
      <c r="F47" s="24">
        <v>1</v>
      </c>
      <c r="G47" s="24">
        <v>1</v>
      </c>
      <c r="H47" s="24">
        <v>1</v>
      </c>
      <c r="I47" s="24"/>
      <c r="J47" s="24"/>
      <c r="K47" s="78">
        <v>36</v>
      </c>
      <c r="L47" s="140" t="s">
        <v>56</v>
      </c>
      <c r="M47" s="78">
        <v>1</v>
      </c>
      <c r="N47" s="78">
        <f>M47*K47</f>
        <v>36</v>
      </c>
      <c r="O47" s="75">
        <v>15</v>
      </c>
      <c r="P47" s="75">
        <v>16</v>
      </c>
      <c r="Q47" s="78">
        <f>P47*M47</f>
        <v>16</v>
      </c>
      <c r="R47" s="70">
        <v>0.5</v>
      </c>
      <c r="S47" s="70">
        <v>0.45</v>
      </c>
      <c r="T47" s="70">
        <v>0.33</v>
      </c>
      <c r="U47" s="70">
        <f>R47*S47*T47*M47</f>
        <v>7.4249999999999997E-2</v>
      </c>
    </row>
    <row r="48" spans="1:21" s="4" customFormat="1" ht="19.100000000000001" customHeight="1">
      <c r="A48" s="77"/>
      <c r="B48" s="77"/>
      <c r="C48" s="77"/>
      <c r="D48" s="33" t="s">
        <v>30</v>
      </c>
      <c r="E48" s="23">
        <v>2</v>
      </c>
      <c r="F48" s="23">
        <v>2</v>
      </c>
      <c r="G48" s="23">
        <v>2</v>
      </c>
      <c r="H48" s="23">
        <v>2</v>
      </c>
      <c r="I48" s="23"/>
      <c r="J48" s="23"/>
      <c r="K48" s="136"/>
      <c r="L48" s="141"/>
      <c r="M48" s="136"/>
      <c r="N48" s="136"/>
      <c r="O48" s="138"/>
      <c r="P48" s="138"/>
      <c r="Q48" s="136"/>
      <c r="R48" s="134"/>
      <c r="S48" s="134"/>
      <c r="T48" s="134"/>
      <c r="U48" s="134"/>
    </row>
    <row r="49" spans="1:21" s="4" customFormat="1" ht="19.100000000000001" customHeight="1">
      <c r="A49" s="77"/>
      <c r="B49" s="77"/>
      <c r="C49" s="77"/>
      <c r="D49" s="33" t="s">
        <v>57</v>
      </c>
      <c r="E49" s="23">
        <v>3</v>
      </c>
      <c r="F49" s="23">
        <v>3</v>
      </c>
      <c r="G49" s="23">
        <v>3</v>
      </c>
      <c r="H49" s="23">
        <v>3</v>
      </c>
      <c r="I49" s="23"/>
      <c r="J49" s="23"/>
      <c r="K49" s="136"/>
      <c r="L49" s="141"/>
      <c r="M49" s="136"/>
      <c r="N49" s="136"/>
      <c r="O49" s="138"/>
      <c r="P49" s="138"/>
      <c r="Q49" s="136"/>
      <c r="R49" s="134"/>
      <c r="S49" s="134"/>
      <c r="T49" s="134"/>
      <c r="U49" s="134"/>
    </row>
    <row r="50" spans="1:21" s="4" customFormat="1" ht="19.100000000000001" customHeight="1">
      <c r="A50" s="77"/>
      <c r="B50" s="77"/>
      <c r="C50" s="77"/>
      <c r="D50" s="33" t="s">
        <v>45</v>
      </c>
      <c r="E50" s="23">
        <v>1</v>
      </c>
      <c r="F50" s="23">
        <v>1</v>
      </c>
      <c r="G50" s="23">
        <v>1</v>
      </c>
      <c r="H50" s="23">
        <v>1</v>
      </c>
      <c r="I50" s="23"/>
      <c r="J50" s="23"/>
      <c r="K50" s="136"/>
      <c r="L50" s="141"/>
      <c r="M50" s="136"/>
      <c r="N50" s="136"/>
      <c r="O50" s="138"/>
      <c r="P50" s="138"/>
      <c r="Q50" s="136"/>
      <c r="R50" s="134"/>
      <c r="S50" s="134"/>
      <c r="T50" s="134"/>
      <c r="U50" s="134"/>
    </row>
    <row r="51" spans="1:21" s="4" customFormat="1" ht="19.100000000000001" customHeight="1">
      <c r="A51" s="77"/>
      <c r="B51" s="77"/>
      <c r="C51" s="77"/>
      <c r="D51" s="33" t="s">
        <v>58</v>
      </c>
      <c r="E51" s="23">
        <v>1</v>
      </c>
      <c r="F51" s="23">
        <v>1</v>
      </c>
      <c r="G51" s="23">
        <v>1</v>
      </c>
      <c r="H51" s="23">
        <v>1</v>
      </c>
      <c r="I51" s="23"/>
      <c r="J51" s="23"/>
      <c r="K51" s="136"/>
      <c r="L51" s="141"/>
      <c r="M51" s="136"/>
      <c r="N51" s="136"/>
      <c r="O51" s="138"/>
      <c r="P51" s="138"/>
      <c r="Q51" s="136"/>
      <c r="R51" s="134"/>
      <c r="S51" s="134"/>
      <c r="T51" s="134"/>
      <c r="U51" s="134"/>
    </row>
    <row r="52" spans="1:21" s="4" customFormat="1" ht="19.100000000000001" customHeight="1">
      <c r="A52" s="77"/>
      <c r="B52" s="77"/>
      <c r="C52" s="77"/>
      <c r="D52" s="37" t="s">
        <v>27</v>
      </c>
      <c r="E52" s="35">
        <v>1</v>
      </c>
      <c r="F52" s="35">
        <v>1</v>
      </c>
      <c r="G52" s="35">
        <v>1</v>
      </c>
      <c r="H52" s="35">
        <v>1</v>
      </c>
      <c r="I52" s="35"/>
      <c r="J52" s="35"/>
      <c r="K52" s="137"/>
      <c r="L52" s="142"/>
      <c r="M52" s="137"/>
      <c r="N52" s="137"/>
      <c r="O52" s="139"/>
      <c r="P52" s="139"/>
      <c r="Q52" s="137"/>
      <c r="R52" s="135"/>
      <c r="S52" s="135"/>
      <c r="T52" s="135"/>
      <c r="U52" s="135"/>
    </row>
    <row r="53" spans="1:21" s="4" customFormat="1" ht="19.100000000000001" customHeight="1">
      <c r="A53" s="77"/>
      <c r="B53" s="77"/>
      <c r="C53" s="77"/>
      <c r="D53" s="38" t="s">
        <v>27</v>
      </c>
      <c r="E53" s="24">
        <v>1</v>
      </c>
      <c r="F53" s="24">
        <v>0</v>
      </c>
      <c r="G53" s="24">
        <v>1</v>
      </c>
      <c r="H53" s="24">
        <v>1</v>
      </c>
      <c r="I53" s="24"/>
      <c r="J53" s="24"/>
      <c r="K53" s="78">
        <v>19</v>
      </c>
      <c r="L53" s="140" t="s">
        <v>59</v>
      </c>
      <c r="M53" s="78">
        <v>1</v>
      </c>
      <c r="N53" s="78">
        <f>M53*K53</f>
        <v>19</v>
      </c>
      <c r="O53" s="75">
        <v>15</v>
      </c>
      <c r="P53" s="75">
        <v>16</v>
      </c>
      <c r="Q53" s="78">
        <f>P53*M53</f>
        <v>16</v>
      </c>
      <c r="R53" s="70">
        <v>0.5</v>
      </c>
      <c r="S53" s="70">
        <v>0.45</v>
      </c>
      <c r="T53" s="70">
        <v>0.33</v>
      </c>
      <c r="U53" s="70">
        <f>R53*S53*T53*M53</f>
        <v>7.4249999999999997E-2</v>
      </c>
    </row>
    <row r="54" spans="1:21" s="4" customFormat="1" ht="19.100000000000001" customHeight="1">
      <c r="A54" s="77"/>
      <c r="B54" s="77"/>
      <c r="C54" s="77"/>
      <c r="D54" s="33" t="s">
        <v>45</v>
      </c>
      <c r="E54" s="23">
        <v>1</v>
      </c>
      <c r="F54" s="23">
        <v>0</v>
      </c>
      <c r="G54" s="23">
        <v>1</v>
      </c>
      <c r="H54" s="23">
        <v>1</v>
      </c>
      <c r="I54" s="23"/>
      <c r="J54" s="23"/>
      <c r="K54" s="136"/>
      <c r="L54" s="141"/>
      <c r="M54" s="136"/>
      <c r="N54" s="136"/>
      <c r="O54" s="138"/>
      <c r="P54" s="138"/>
      <c r="Q54" s="136"/>
      <c r="R54" s="134"/>
      <c r="S54" s="134"/>
      <c r="T54" s="134"/>
      <c r="U54" s="134"/>
    </row>
    <row r="55" spans="1:21" s="4" customFormat="1" ht="19.100000000000001" customHeight="1">
      <c r="A55" s="77"/>
      <c r="B55" s="77"/>
      <c r="C55" s="77"/>
      <c r="D55" s="33" t="s">
        <v>57</v>
      </c>
      <c r="E55" s="23">
        <v>1</v>
      </c>
      <c r="F55" s="23">
        <v>1</v>
      </c>
      <c r="G55" s="23">
        <v>3</v>
      </c>
      <c r="H55" s="23">
        <v>2</v>
      </c>
      <c r="I55" s="23"/>
      <c r="J55" s="23"/>
      <c r="K55" s="136"/>
      <c r="L55" s="141"/>
      <c r="M55" s="136"/>
      <c r="N55" s="136"/>
      <c r="O55" s="138"/>
      <c r="P55" s="138"/>
      <c r="Q55" s="136"/>
      <c r="R55" s="134"/>
      <c r="S55" s="134"/>
      <c r="T55" s="134"/>
      <c r="U55" s="134"/>
    </row>
    <row r="56" spans="1:21" s="4" customFormat="1" ht="19.100000000000001" customHeight="1">
      <c r="A56" s="77"/>
      <c r="B56" s="77"/>
      <c r="C56" s="77"/>
      <c r="D56" s="33" t="s">
        <v>30</v>
      </c>
      <c r="E56" s="23">
        <v>0</v>
      </c>
      <c r="F56" s="23">
        <v>1</v>
      </c>
      <c r="G56" s="23">
        <v>0</v>
      </c>
      <c r="H56" s="23">
        <v>0</v>
      </c>
      <c r="I56" s="23"/>
      <c r="J56" s="23"/>
      <c r="K56" s="136"/>
      <c r="L56" s="141"/>
      <c r="M56" s="136"/>
      <c r="N56" s="136"/>
      <c r="O56" s="138"/>
      <c r="P56" s="138"/>
      <c r="Q56" s="136"/>
      <c r="R56" s="134"/>
      <c r="S56" s="134"/>
      <c r="T56" s="134"/>
      <c r="U56" s="134"/>
    </row>
    <row r="57" spans="1:21" s="4" customFormat="1" ht="19.100000000000001" customHeight="1">
      <c r="A57" s="77"/>
      <c r="B57" s="77"/>
      <c r="C57" s="77"/>
      <c r="D57" s="33" t="s">
        <v>60</v>
      </c>
      <c r="E57" s="23">
        <v>1</v>
      </c>
      <c r="F57" s="23">
        <v>1</v>
      </c>
      <c r="G57" s="23">
        <v>0</v>
      </c>
      <c r="H57" s="23">
        <v>1</v>
      </c>
      <c r="I57" s="23"/>
      <c r="J57" s="23"/>
      <c r="K57" s="136"/>
      <c r="L57" s="141"/>
      <c r="M57" s="136"/>
      <c r="N57" s="136"/>
      <c r="O57" s="138"/>
      <c r="P57" s="138"/>
      <c r="Q57" s="136"/>
      <c r="R57" s="134"/>
      <c r="S57" s="134"/>
      <c r="T57" s="134"/>
      <c r="U57" s="134"/>
    </row>
    <row r="58" spans="1:21" s="4" customFormat="1" ht="19.100000000000001" customHeight="1">
      <c r="A58" s="78"/>
      <c r="B58" s="78"/>
      <c r="C58" s="78"/>
      <c r="D58" s="34" t="s">
        <v>44</v>
      </c>
      <c r="E58" s="35">
        <v>1</v>
      </c>
      <c r="F58" s="35">
        <v>0</v>
      </c>
      <c r="G58" s="35">
        <v>0</v>
      </c>
      <c r="H58" s="35">
        <v>1</v>
      </c>
      <c r="I58" s="35"/>
      <c r="J58" s="35"/>
      <c r="K58" s="137"/>
      <c r="L58" s="142"/>
      <c r="M58" s="137"/>
      <c r="N58" s="137"/>
      <c r="O58" s="139"/>
      <c r="P58" s="139"/>
      <c r="Q58" s="137"/>
      <c r="R58" s="135"/>
      <c r="S58" s="135"/>
      <c r="T58" s="135"/>
      <c r="U58" s="135"/>
    </row>
    <row r="59" spans="1:21" s="5" customFormat="1" ht="16.100000000000001" customHeight="1">
      <c r="A59" s="25" t="s">
        <v>40</v>
      </c>
      <c r="B59" s="84"/>
      <c r="C59" s="85"/>
      <c r="D59" s="85"/>
      <c r="E59" s="85"/>
      <c r="F59" s="85"/>
      <c r="G59" s="85"/>
      <c r="H59" s="85"/>
      <c r="I59" s="85"/>
      <c r="J59" s="85"/>
      <c r="K59" s="85"/>
      <c r="L59" s="86"/>
      <c r="M59" s="26">
        <f t="shared" ref="M59:Q59" si="0">SUM(M5:M58)</f>
        <v>80</v>
      </c>
      <c r="N59" s="26">
        <f t="shared" si="0"/>
        <v>2863</v>
      </c>
      <c r="O59" s="87"/>
      <c r="P59" s="88"/>
      <c r="Q59" s="26">
        <f t="shared" si="0"/>
        <v>1280</v>
      </c>
      <c r="R59" s="27"/>
      <c r="S59" s="28"/>
      <c r="T59" s="29"/>
      <c r="U59" s="26">
        <f>SUM(U5:U58)</f>
        <v>6.2667000000000002</v>
      </c>
    </row>
    <row r="60" spans="1:21">
      <c r="C60" s="30"/>
    </row>
    <row r="61" spans="1:21" ht="18.45">
      <c r="D61" s="31"/>
    </row>
  </sheetData>
  <mergeCells count="110">
    <mergeCell ref="A1:U1"/>
    <mergeCell ref="A2:U2"/>
    <mergeCell ref="R4:T4"/>
    <mergeCell ref="B59:L59"/>
    <mergeCell ref="O59:P59"/>
    <mergeCell ref="A5:A22"/>
    <mergeCell ref="A23:A58"/>
    <mergeCell ref="B5:B22"/>
    <mergeCell ref="B23:B58"/>
    <mergeCell ref="C5:C22"/>
    <mergeCell ref="C23:C58"/>
    <mergeCell ref="K5:K10"/>
    <mergeCell ref="K11:K16"/>
    <mergeCell ref="K17:K22"/>
    <mergeCell ref="K23:K28"/>
    <mergeCell ref="K29:K34"/>
    <mergeCell ref="K35:K40"/>
    <mergeCell ref="K41:K46"/>
    <mergeCell ref="K47:K52"/>
    <mergeCell ref="K53:K58"/>
    <mergeCell ref="L5:L10"/>
    <mergeCell ref="L11:L16"/>
    <mergeCell ref="L17:L22"/>
    <mergeCell ref="L23:L28"/>
    <mergeCell ref="L29:L34"/>
    <mergeCell ref="L35:L40"/>
    <mergeCell ref="L41:L46"/>
    <mergeCell ref="L47:L52"/>
    <mergeCell ref="L53:L58"/>
    <mergeCell ref="M5:M10"/>
    <mergeCell ref="M11:M16"/>
    <mergeCell ref="M17:M22"/>
    <mergeCell ref="M23:M28"/>
    <mergeCell ref="M29:M34"/>
    <mergeCell ref="M35:M40"/>
    <mergeCell ref="M41:M46"/>
    <mergeCell ref="M47:M52"/>
    <mergeCell ref="M53:M58"/>
    <mergeCell ref="N5:N10"/>
    <mergeCell ref="N11:N16"/>
    <mergeCell ref="N17:N22"/>
    <mergeCell ref="N23:N28"/>
    <mergeCell ref="N29:N34"/>
    <mergeCell ref="N35:N40"/>
    <mergeCell ref="N41:N46"/>
    <mergeCell ref="N47:N52"/>
    <mergeCell ref="N53:N58"/>
    <mergeCell ref="O5:O10"/>
    <mergeCell ref="O11:O16"/>
    <mergeCell ref="O17:O22"/>
    <mergeCell ref="O23:O28"/>
    <mergeCell ref="O29:O34"/>
    <mergeCell ref="O35:O40"/>
    <mergeCell ref="O41:O46"/>
    <mergeCell ref="O47:O52"/>
    <mergeCell ref="O53:O58"/>
    <mergeCell ref="P5:P10"/>
    <mergeCell ref="P11:P16"/>
    <mergeCell ref="P17:P22"/>
    <mergeCell ref="P23:P28"/>
    <mergeCell ref="P29:P34"/>
    <mergeCell ref="P35:P40"/>
    <mergeCell ref="P41:P46"/>
    <mergeCell ref="P47:P52"/>
    <mergeCell ref="P53:P58"/>
    <mergeCell ref="Q5:Q10"/>
    <mergeCell ref="Q11:Q16"/>
    <mergeCell ref="Q17:Q22"/>
    <mergeCell ref="Q23:Q28"/>
    <mergeCell ref="Q29:Q34"/>
    <mergeCell ref="Q35:Q40"/>
    <mergeCell ref="Q41:Q46"/>
    <mergeCell ref="Q47:Q52"/>
    <mergeCell ref="Q53:Q58"/>
    <mergeCell ref="R5:R10"/>
    <mergeCell ref="R11:R16"/>
    <mergeCell ref="R17:R22"/>
    <mergeCell ref="R23:R28"/>
    <mergeCell ref="R29:R34"/>
    <mergeCell ref="R35:R40"/>
    <mergeCell ref="R41:R46"/>
    <mergeCell ref="R47:R52"/>
    <mergeCell ref="R53:R58"/>
    <mergeCell ref="S5:S10"/>
    <mergeCell ref="S11:S16"/>
    <mergeCell ref="S17:S22"/>
    <mergeCell ref="S23:S28"/>
    <mergeCell ref="S29:S34"/>
    <mergeCell ref="S35:S40"/>
    <mergeCell ref="S41:S46"/>
    <mergeCell ref="S47:S52"/>
    <mergeCell ref="S53:S58"/>
    <mergeCell ref="T5:T10"/>
    <mergeCell ref="T11:T16"/>
    <mergeCell ref="T17:T22"/>
    <mergeCell ref="T23:T28"/>
    <mergeCell ref="T29:T34"/>
    <mergeCell ref="T35:T40"/>
    <mergeCell ref="T41:T46"/>
    <mergeCell ref="T47:T52"/>
    <mergeCell ref="T53:T58"/>
    <mergeCell ref="U5:U10"/>
    <mergeCell ref="U11:U16"/>
    <mergeCell ref="U17:U22"/>
    <mergeCell ref="U23:U28"/>
    <mergeCell ref="U29:U34"/>
    <mergeCell ref="U35:U40"/>
    <mergeCell ref="U41:U46"/>
    <mergeCell ref="U47:U52"/>
    <mergeCell ref="U53:U58"/>
  </mergeCells>
  <pageMargins left="0.23611111111111099" right="0.156944444444444" top="0.31458333333333299" bottom="0.31458333333333299" header="0.31458333333333299" footer="0.31458333333333299"/>
  <pageSetup paperSize="9" scale="68" orientation="landscape"/>
  <headerFooter>
    <oddFooter>&amp;CJE26/07MSD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QQ26"/>
  <sheetViews>
    <sheetView tabSelected="1" zoomScale="75" zoomScaleNormal="75" workbookViewId="0">
      <selection activeCell="N5" sqref="N5:N10"/>
    </sheetView>
  </sheetViews>
  <sheetFormatPr baseColWidth="10" defaultColWidth="9" defaultRowHeight="14.6"/>
  <cols>
    <col min="1" max="1" width="13.69140625" style="1" customWidth="1"/>
    <col min="2" max="2" width="11.23046875" style="1" customWidth="1"/>
    <col min="3" max="3" width="13.07421875" style="1" customWidth="1"/>
    <col min="4" max="4" width="18.69140625" style="6" customWidth="1"/>
    <col min="5" max="10" width="6" style="1" customWidth="1"/>
    <col min="11" max="11" width="9.07421875" style="1" customWidth="1"/>
    <col min="12" max="12" width="7.69140625" style="1" customWidth="1"/>
    <col min="13" max="13" width="7" style="1" customWidth="1"/>
    <col min="14" max="14" width="9.3046875" style="1" customWidth="1"/>
    <col min="15" max="16" width="7.07421875" style="7" customWidth="1"/>
    <col min="17" max="17" width="9.3046875" style="1" customWidth="1"/>
    <col min="18" max="20" width="6.69140625" style="1" customWidth="1"/>
    <col min="21" max="21" width="12" style="1" customWidth="1"/>
    <col min="22" max="114" width="8.69140625" style="1"/>
    <col min="115" max="115" width="9" style="1" customWidth="1"/>
    <col min="116" max="116" width="12.69140625" style="1" customWidth="1"/>
    <col min="117" max="117" width="12.07421875" style="1" customWidth="1"/>
    <col min="118" max="118" width="6.4609375" style="1" customWidth="1"/>
    <col min="119" max="119" width="5.4609375" style="1" customWidth="1"/>
    <col min="120" max="120" width="9.3046875" style="1" customWidth="1"/>
    <col min="121" max="125" width="4.765625" style="1" customWidth="1"/>
    <col min="126" max="126" width="6.765625" style="1" customWidth="1"/>
    <col min="127" max="127" width="9.3046875" style="1" customWidth="1"/>
    <col min="128" max="128" width="9.4609375" style="1" customWidth="1"/>
    <col min="129" max="129" width="5.765625" style="1" customWidth="1"/>
    <col min="130" max="130" width="6.23046875" style="1" customWidth="1"/>
    <col min="131" max="131" width="9" style="1" customWidth="1"/>
    <col min="132" max="132" width="13.3046875" style="1" customWidth="1"/>
    <col min="133" max="133" width="9.765625" style="1" customWidth="1"/>
    <col min="134" max="135" width="9" style="1" hidden="1" customWidth="1"/>
    <col min="136" max="370" width="8.69140625" style="1"/>
    <col min="371" max="371" width="9" style="1" customWidth="1"/>
    <col min="372" max="372" width="12.69140625" style="1" customWidth="1"/>
    <col min="373" max="373" width="12.07421875" style="1" customWidth="1"/>
    <col min="374" max="374" width="6.4609375" style="1" customWidth="1"/>
    <col min="375" max="375" width="5.4609375" style="1" customWidth="1"/>
    <col min="376" max="376" width="9.3046875" style="1" customWidth="1"/>
    <col min="377" max="381" width="4.765625" style="1" customWidth="1"/>
    <col min="382" max="382" width="6.765625" style="1" customWidth="1"/>
    <col min="383" max="383" width="9.3046875" style="1" customWidth="1"/>
    <col min="384" max="384" width="9.4609375" style="1" customWidth="1"/>
    <col min="385" max="385" width="5.765625" style="1" customWidth="1"/>
    <col min="386" max="386" width="6.23046875" style="1" customWidth="1"/>
    <col min="387" max="387" width="9" style="1" customWidth="1"/>
    <col min="388" max="388" width="13.3046875" style="1" customWidth="1"/>
    <col min="389" max="389" width="9.765625" style="1" customWidth="1"/>
    <col min="390" max="391" width="9" style="1" hidden="1" customWidth="1"/>
    <col min="392" max="626" width="8.69140625" style="1"/>
    <col min="627" max="627" width="9" style="1" customWidth="1"/>
    <col min="628" max="628" width="12.69140625" style="1" customWidth="1"/>
    <col min="629" max="629" width="12.07421875" style="1" customWidth="1"/>
    <col min="630" max="630" width="6.4609375" style="1" customWidth="1"/>
    <col min="631" max="631" width="5.4609375" style="1" customWidth="1"/>
    <col min="632" max="632" width="9.3046875" style="1" customWidth="1"/>
    <col min="633" max="637" width="4.765625" style="1" customWidth="1"/>
    <col min="638" max="638" width="6.765625" style="1" customWidth="1"/>
    <col min="639" max="639" width="9.3046875" style="1" customWidth="1"/>
    <col min="640" max="640" width="9.4609375" style="1" customWidth="1"/>
    <col min="641" max="641" width="5.765625" style="1" customWidth="1"/>
    <col min="642" max="642" width="6.23046875" style="1" customWidth="1"/>
    <col min="643" max="643" width="9" style="1" customWidth="1"/>
    <col min="644" max="644" width="13.3046875" style="1" customWidth="1"/>
    <col min="645" max="645" width="9.765625" style="1" customWidth="1"/>
    <col min="646" max="647" width="9" style="1" hidden="1" customWidth="1"/>
    <col min="648" max="882" width="8.69140625" style="1"/>
    <col min="883" max="883" width="9" style="1" customWidth="1"/>
    <col min="884" max="884" width="12.69140625" style="1" customWidth="1"/>
    <col min="885" max="885" width="12.07421875" style="1" customWidth="1"/>
    <col min="886" max="886" width="6.4609375" style="1" customWidth="1"/>
    <col min="887" max="887" width="5.4609375" style="1" customWidth="1"/>
    <col min="888" max="888" width="9.3046875" style="1" customWidth="1"/>
    <col min="889" max="893" width="4.765625" style="1" customWidth="1"/>
    <col min="894" max="894" width="6.765625" style="1" customWidth="1"/>
    <col min="895" max="895" width="9.3046875" style="1" customWidth="1"/>
    <col min="896" max="896" width="9.4609375" style="1" customWidth="1"/>
    <col min="897" max="897" width="5.765625" style="1" customWidth="1"/>
    <col min="898" max="898" width="6.23046875" style="1" customWidth="1"/>
    <col min="899" max="899" width="9" style="1" customWidth="1"/>
    <col min="900" max="900" width="13.3046875" style="1" customWidth="1"/>
    <col min="901" max="901" width="9.765625" style="1" customWidth="1"/>
    <col min="902" max="903" width="9" style="1" hidden="1" customWidth="1"/>
    <col min="904" max="1138" width="8.69140625" style="1"/>
    <col min="1139" max="1139" width="9" style="1" customWidth="1"/>
    <col min="1140" max="1140" width="12.69140625" style="1" customWidth="1"/>
    <col min="1141" max="1141" width="12.07421875" style="1" customWidth="1"/>
    <col min="1142" max="1142" width="6.4609375" style="1" customWidth="1"/>
    <col min="1143" max="1143" width="5.4609375" style="1" customWidth="1"/>
    <col min="1144" max="1144" width="9.3046875" style="1" customWidth="1"/>
    <col min="1145" max="1149" width="4.765625" style="1" customWidth="1"/>
    <col min="1150" max="1150" width="6.765625" style="1" customWidth="1"/>
    <col min="1151" max="1151" width="9.3046875" style="1" customWidth="1"/>
    <col min="1152" max="1152" width="9.4609375" style="1" customWidth="1"/>
    <col min="1153" max="1153" width="5.765625" style="1" customWidth="1"/>
    <col min="1154" max="1154" width="6.23046875" style="1" customWidth="1"/>
    <col min="1155" max="1155" width="9" style="1" customWidth="1"/>
    <col min="1156" max="1156" width="13.3046875" style="1" customWidth="1"/>
    <col min="1157" max="1157" width="9.765625" style="1" customWidth="1"/>
    <col min="1158" max="1159" width="9" style="1" hidden="1" customWidth="1"/>
    <col min="1160" max="1394" width="8.69140625" style="1"/>
    <col min="1395" max="1395" width="9" style="1" customWidth="1"/>
    <col min="1396" max="1396" width="12.69140625" style="1" customWidth="1"/>
    <col min="1397" max="1397" width="12.07421875" style="1" customWidth="1"/>
    <col min="1398" max="1398" width="6.4609375" style="1" customWidth="1"/>
    <col min="1399" max="1399" width="5.4609375" style="1" customWidth="1"/>
    <col min="1400" max="1400" width="9.3046875" style="1" customWidth="1"/>
    <col min="1401" max="1405" width="4.765625" style="1" customWidth="1"/>
    <col min="1406" max="1406" width="6.765625" style="1" customWidth="1"/>
    <col min="1407" max="1407" width="9.3046875" style="1" customWidth="1"/>
    <col min="1408" max="1408" width="9.4609375" style="1" customWidth="1"/>
    <col min="1409" max="1409" width="5.765625" style="1" customWidth="1"/>
    <col min="1410" max="1410" width="6.23046875" style="1" customWidth="1"/>
    <col min="1411" max="1411" width="9" style="1" customWidth="1"/>
    <col min="1412" max="1412" width="13.3046875" style="1" customWidth="1"/>
    <col min="1413" max="1413" width="9.765625" style="1" customWidth="1"/>
    <col min="1414" max="1415" width="9" style="1" hidden="1" customWidth="1"/>
    <col min="1416" max="1650" width="8.69140625" style="1"/>
    <col min="1651" max="1651" width="9" style="1" customWidth="1"/>
    <col min="1652" max="1652" width="12.69140625" style="1" customWidth="1"/>
    <col min="1653" max="1653" width="12.07421875" style="1" customWidth="1"/>
    <col min="1654" max="1654" width="6.4609375" style="1" customWidth="1"/>
    <col min="1655" max="1655" width="5.4609375" style="1" customWidth="1"/>
    <col min="1656" max="1656" width="9.3046875" style="1" customWidth="1"/>
    <col min="1657" max="1661" width="4.765625" style="1" customWidth="1"/>
    <col min="1662" max="1662" width="6.765625" style="1" customWidth="1"/>
    <col min="1663" max="1663" width="9.3046875" style="1" customWidth="1"/>
    <col min="1664" max="1664" width="9.4609375" style="1" customWidth="1"/>
    <col min="1665" max="1665" width="5.765625" style="1" customWidth="1"/>
    <col min="1666" max="1666" width="6.23046875" style="1" customWidth="1"/>
    <col min="1667" max="1667" width="9" style="1" customWidth="1"/>
    <col min="1668" max="1668" width="13.3046875" style="1" customWidth="1"/>
    <col min="1669" max="1669" width="9.765625" style="1" customWidth="1"/>
    <col min="1670" max="1671" width="9" style="1" hidden="1" customWidth="1"/>
    <col min="1672" max="1906" width="8.69140625" style="1"/>
    <col min="1907" max="1907" width="9" style="1" customWidth="1"/>
    <col min="1908" max="1908" width="12.69140625" style="1" customWidth="1"/>
    <col min="1909" max="1909" width="12.07421875" style="1" customWidth="1"/>
    <col min="1910" max="1910" width="6.4609375" style="1" customWidth="1"/>
    <col min="1911" max="1911" width="5.4609375" style="1" customWidth="1"/>
    <col min="1912" max="1912" width="9.3046875" style="1" customWidth="1"/>
    <col min="1913" max="1917" width="4.765625" style="1" customWidth="1"/>
    <col min="1918" max="1918" width="6.765625" style="1" customWidth="1"/>
    <col min="1919" max="1919" width="9.3046875" style="1" customWidth="1"/>
    <col min="1920" max="1920" width="9.4609375" style="1" customWidth="1"/>
    <col min="1921" max="1921" width="5.765625" style="1" customWidth="1"/>
    <col min="1922" max="1922" width="6.23046875" style="1" customWidth="1"/>
    <col min="1923" max="1923" width="9" style="1" customWidth="1"/>
    <col min="1924" max="1924" width="13.3046875" style="1" customWidth="1"/>
    <col min="1925" max="1925" width="9.765625" style="1" customWidth="1"/>
    <col min="1926" max="1927" width="9" style="1" hidden="1" customWidth="1"/>
    <col min="1928" max="2162" width="8.69140625" style="1"/>
    <col min="2163" max="2163" width="9" style="1" customWidth="1"/>
    <col min="2164" max="2164" width="12.69140625" style="1" customWidth="1"/>
    <col min="2165" max="2165" width="12.07421875" style="1" customWidth="1"/>
    <col min="2166" max="2166" width="6.4609375" style="1" customWidth="1"/>
    <col min="2167" max="2167" width="5.4609375" style="1" customWidth="1"/>
    <col min="2168" max="2168" width="9.3046875" style="1" customWidth="1"/>
    <col min="2169" max="2173" width="4.765625" style="1" customWidth="1"/>
    <col min="2174" max="2174" width="6.765625" style="1" customWidth="1"/>
    <col min="2175" max="2175" width="9.3046875" style="1" customWidth="1"/>
    <col min="2176" max="2176" width="9.4609375" style="1" customWidth="1"/>
    <col min="2177" max="2177" width="5.765625" style="1" customWidth="1"/>
    <col min="2178" max="2178" width="6.23046875" style="1" customWidth="1"/>
    <col min="2179" max="2179" width="9" style="1" customWidth="1"/>
    <col min="2180" max="2180" width="13.3046875" style="1" customWidth="1"/>
    <col min="2181" max="2181" width="9.765625" style="1" customWidth="1"/>
    <col min="2182" max="2183" width="9" style="1" hidden="1" customWidth="1"/>
    <col min="2184" max="2418" width="8.69140625" style="1"/>
    <col min="2419" max="2419" width="9" style="1" customWidth="1"/>
    <col min="2420" max="2420" width="12.69140625" style="1" customWidth="1"/>
    <col min="2421" max="2421" width="12.07421875" style="1" customWidth="1"/>
    <col min="2422" max="2422" width="6.4609375" style="1" customWidth="1"/>
    <col min="2423" max="2423" width="5.4609375" style="1" customWidth="1"/>
    <col min="2424" max="2424" width="9.3046875" style="1" customWidth="1"/>
    <col min="2425" max="2429" width="4.765625" style="1" customWidth="1"/>
    <col min="2430" max="2430" width="6.765625" style="1" customWidth="1"/>
    <col min="2431" max="2431" width="9.3046875" style="1" customWidth="1"/>
    <col min="2432" max="2432" width="9.4609375" style="1" customWidth="1"/>
    <col min="2433" max="2433" width="5.765625" style="1" customWidth="1"/>
    <col min="2434" max="2434" width="6.23046875" style="1" customWidth="1"/>
    <col min="2435" max="2435" width="9" style="1" customWidth="1"/>
    <col min="2436" max="2436" width="13.3046875" style="1" customWidth="1"/>
    <col min="2437" max="2437" width="9.765625" style="1" customWidth="1"/>
    <col min="2438" max="2439" width="9" style="1" hidden="1" customWidth="1"/>
    <col min="2440" max="2674" width="8.69140625" style="1"/>
    <col min="2675" max="2675" width="9" style="1" customWidth="1"/>
    <col min="2676" max="2676" width="12.69140625" style="1" customWidth="1"/>
    <col min="2677" max="2677" width="12.07421875" style="1" customWidth="1"/>
    <col min="2678" max="2678" width="6.4609375" style="1" customWidth="1"/>
    <col min="2679" max="2679" width="5.4609375" style="1" customWidth="1"/>
    <col min="2680" max="2680" width="9.3046875" style="1" customWidth="1"/>
    <col min="2681" max="2685" width="4.765625" style="1" customWidth="1"/>
    <col min="2686" max="2686" width="6.765625" style="1" customWidth="1"/>
    <col min="2687" max="2687" width="9.3046875" style="1" customWidth="1"/>
    <col min="2688" max="2688" width="9.4609375" style="1" customWidth="1"/>
    <col min="2689" max="2689" width="5.765625" style="1" customWidth="1"/>
    <col min="2690" max="2690" width="6.23046875" style="1" customWidth="1"/>
    <col min="2691" max="2691" width="9" style="1" customWidth="1"/>
    <col min="2692" max="2692" width="13.3046875" style="1" customWidth="1"/>
    <col min="2693" max="2693" width="9.765625" style="1" customWidth="1"/>
    <col min="2694" max="2695" width="9" style="1" hidden="1" customWidth="1"/>
    <col min="2696" max="2930" width="8.69140625" style="1"/>
    <col min="2931" max="2931" width="9" style="1" customWidth="1"/>
    <col min="2932" max="2932" width="12.69140625" style="1" customWidth="1"/>
    <col min="2933" max="2933" width="12.07421875" style="1" customWidth="1"/>
    <col min="2934" max="2934" width="6.4609375" style="1" customWidth="1"/>
    <col min="2935" max="2935" width="5.4609375" style="1" customWidth="1"/>
    <col min="2936" max="2936" width="9.3046875" style="1" customWidth="1"/>
    <col min="2937" max="2941" width="4.765625" style="1" customWidth="1"/>
    <col min="2942" max="2942" width="6.765625" style="1" customWidth="1"/>
    <col min="2943" max="2943" width="9.3046875" style="1" customWidth="1"/>
    <col min="2944" max="2944" width="9.4609375" style="1" customWidth="1"/>
    <col min="2945" max="2945" width="5.765625" style="1" customWidth="1"/>
    <col min="2946" max="2946" width="6.23046875" style="1" customWidth="1"/>
    <col min="2947" max="2947" width="9" style="1" customWidth="1"/>
    <col min="2948" max="2948" width="13.3046875" style="1" customWidth="1"/>
    <col min="2949" max="2949" width="9.765625" style="1" customWidth="1"/>
    <col min="2950" max="2951" width="9" style="1" hidden="1" customWidth="1"/>
    <col min="2952" max="3186" width="8.69140625" style="1"/>
    <col min="3187" max="3187" width="9" style="1" customWidth="1"/>
    <col min="3188" max="3188" width="12.69140625" style="1" customWidth="1"/>
    <col min="3189" max="3189" width="12.07421875" style="1" customWidth="1"/>
    <col min="3190" max="3190" width="6.4609375" style="1" customWidth="1"/>
    <col min="3191" max="3191" width="5.4609375" style="1" customWidth="1"/>
    <col min="3192" max="3192" width="9.3046875" style="1" customWidth="1"/>
    <col min="3193" max="3197" width="4.765625" style="1" customWidth="1"/>
    <col min="3198" max="3198" width="6.765625" style="1" customWidth="1"/>
    <col min="3199" max="3199" width="9.3046875" style="1" customWidth="1"/>
    <col min="3200" max="3200" width="9.4609375" style="1" customWidth="1"/>
    <col min="3201" max="3201" width="5.765625" style="1" customWidth="1"/>
    <col min="3202" max="3202" width="6.23046875" style="1" customWidth="1"/>
    <col min="3203" max="3203" width="9" style="1" customWidth="1"/>
    <col min="3204" max="3204" width="13.3046875" style="1" customWidth="1"/>
    <col min="3205" max="3205" width="9.765625" style="1" customWidth="1"/>
    <col min="3206" max="3207" width="9" style="1" hidden="1" customWidth="1"/>
    <col min="3208" max="3442" width="8.69140625" style="1"/>
    <col min="3443" max="3443" width="9" style="1" customWidth="1"/>
    <col min="3444" max="3444" width="12.69140625" style="1" customWidth="1"/>
    <col min="3445" max="3445" width="12.07421875" style="1" customWidth="1"/>
    <col min="3446" max="3446" width="6.4609375" style="1" customWidth="1"/>
    <col min="3447" max="3447" width="5.4609375" style="1" customWidth="1"/>
    <col min="3448" max="3448" width="9.3046875" style="1" customWidth="1"/>
    <col min="3449" max="3453" width="4.765625" style="1" customWidth="1"/>
    <col min="3454" max="3454" width="6.765625" style="1" customWidth="1"/>
    <col min="3455" max="3455" width="9.3046875" style="1" customWidth="1"/>
    <col min="3456" max="3456" width="9.4609375" style="1" customWidth="1"/>
    <col min="3457" max="3457" width="5.765625" style="1" customWidth="1"/>
    <col min="3458" max="3458" width="6.23046875" style="1" customWidth="1"/>
    <col min="3459" max="3459" width="9" style="1" customWidth="1"/>
    <col min="3460" max="3460" width="13.3046875" style="1" customWidth="1"/>
    <col min="3461" max="3461" width="9.765625" style="1" customWidth="1"/>
    <col min="3462" max="3463" width="9" style="1" hidden="1" customWidth="1"/>
    <col min="3464" max="3698" width="8.69140625" style="1"/>
    <col min="3699" max="3699" width="9" style="1" customWidth="1"/>
    <col min="3700" max="3700" width="12.69140625" style="1" customWidth="1"/>
    <col min="3701" max="3701" width="12.07421875" style="1" customWidth="1"/>
    <col min="3702" max="3702" width="6.4609375" style="1" customWidth="1"/>
    <col min="3703" max="3703" width="5.4609375" style="1" customWidth="1"/>
    <col min="3704" max="3704" width="9.3046875" style="1" customWidth="1"/>
    <col min="3705" max="3709" width="4.765625" style="1" customWidth="1"/>
    <col min="3710" max="3710" width="6.765625" style="1" customWidth="1"/>
    <col min="3711" max="3711" width="9.3046875" style="1" customWidth="1"/>
    <col min="3712" max="3712" width="9.4609375" style="1" customWidth="1"/>
    <col min="3713" max="3713" width="5.765625" style="1" customWidth="1"/>
    <col min="3714" max="3714" width="6.23046875" style="1" customWidth="1"/>
    <col min="3715" max="3715" width="9" style="1" customWidth="1"/>
    <col min="3716" max="3716" width="13.3046875" style="1" customWidth="1"/>
    <col min="3717" max="3717" width="9.765625" style="1" customWidth="1"/>
    <col min="3718" max="3719" width="9" style="1" hidden="1" customWidth="1"/>
    <col min="3720" max="3954" width="8.69140625" style="1"/>
    <col min="3955" max="3955" width="9" style="1" customWidth="1"/>
    <col min="3956" max="3956" width="12.69140625" style="1" customWidth="1"/>
    <col min="3957" max="3957" width="12.07421875" style="1" customWidth="1"/>
    <col min="3958" max="3958" width="6.4609375" style="1" customWidth="1"/>
    <col min="3959" max="3959" width="5.4609375" style="1" customWidth="1"/>
    <col min="3960" max="3960" width="9.3046875" style="1" customWidth="1"/>
    <col min="3961" max="3965" width="4.765625" style="1" customWidth="1"/>
    <col min="3966" max="3966" width="6.765625" style="1" customWidth="1"/>
    <col min="3967" max="3967" width="9.3046875" style="1" customWidth="1"/>
    <col min="3968" max="3968" width="9.4609375" style="1" customWidth="1"/>
    <col min="3969" max="3969" width="5.765625" style="1" customWidth="1"/>
    <col min="3970" max="3970" width="6.23046875" style="1" customWidth="1"/>
    <col min="3971" max="3971" width="9" style="1" customWidth="1"/>
    <col min="3972" max="3972" width="13.3046875" style="1" customWidth="1"/>
    <col min="3973" max="3973" width="9.765625" style="1" customWidth="1"/>
    <col min="3974" max="3975" width="9" style="1" hidden="1" customWidth="1"/>
    <col min="3976" max="4210" width="8.69140625" style="1"/>
    <col min="4211" max="4211" width="9" style="1" customWidth="1"/>
    <col min="4212" max="4212" width="12.69140625" style="1" customWidth="1"/>
    <col min="4213" max="4213" width="12.07421875" style="1" customWidth="1"/>
    <col min="4214" max="4214" width="6.4609375" style="1" customWidth="1"/>
    <col min="4215" max="4215" width="5.4609375" style="1" customWidth="1"/>
    <col min="4216" max="4216" width="9.3046875" style="1" customWidth="1"/>
    <col min="4217" max="4221" width="4.765625" style="1" customWidth="1"/>
    <col min="4222" max="4222" width="6.765625" style="1" customWidth="1"/>
    <col min="4223" max="4223" width="9.3046875" style="1" customWidth="1"/>
    <col min="4224" max="4224" width="9.4609375" style="1" customWidth="1"/>
    <col min="4225" max="4225" width="5.765625" style="1" customWidth="1"/>
    <col min="4226" max="4226" width="6.23046875" style="1" customWidth="1"/>
    <col min="4227" max="4227" width="9" style="1" customWidth="1"/>
    <col min="4228" max="4228" width="13.3046875" style="1" customWidth="1"/>
    <col min="4229" max="4229" width="9.765625" style="1" customWidth="1"/>
    <col min="4230" max="4231" width="9" style="1" hidden="1" customWidth="1"/>
    <col min="4232" max="4466" width="8.69140625" style="1"/>
    <col min="4467" max="4467" width="9" style="1" customWidth="1"/>
    <col min="4468" max="4468" width="12.69140625" style="1" customWidth="1"/>
    <col min="4469" max="4469" width="12.07421875" style="1" customWidth="1"/>
    <col min="4470" max="4470" width="6.4609375" style="1" customWidth="1"/>
    <col min="4471" max="4471" width="5.4609375" style="1" customWidth="1"/>
    <col min="4472" max="4472" width="9.3046875" style="1" customWidth="1"/>
    <col min="4473" max="4477" width="4.765625" style="1" customWidth="1"/>
    <col min="4478" max="4478" width="6.765625" style="1" customWidth="1"/>
    <col min="4479" max="4479" width="9.3046875" style="1" customWidth="1"/>
    <col min="4480" max="4480" width="9.4609375" style="1" customWidth="1"/>
    <col min="4481" max="4481" width="5.765625" style="1" customWidth="1"/>
    <col min="4482" max="4482" width="6.23046875" style="1" customWidth="1"/>
    <col min="4483" max="4483" width="9" style="1" customWidth="1"/>
    <col min="4484" max="4484" width="13.3046875" style="1" customWidth="1"/>
    <col min="4485" max="4485" width="9.765625" style="1" customWidth="1"/>
    <col min="4486" max="4487" width="9" style="1" hidden="1" customWidth="1"/>
    <col min="4488" max="4722" width="8.69140625" style="1"/>
    <col min="4723" max="4723" width="9" style="1" customWidth="1"/>
    <col min="4724" max="4724" width="12.69140625" style="1" customWidth="1"/>
    <col min="4725" max="4725" width="12.07421875" style="1" customWidth="1"/>
    <col min="4726" max="4726" width="6.4609375" style="1" customWidth="1"/>
    <col min="4727" max="4727" width="5.4609375" style="1" customWidth="1"/>
    <col min="4728" max="4728" width="9.3046875" style="1" customWidth="1"/>
    <col min="4729" max="4733" width="4.765625" style="1" customWidth="1"/>
    <col min="4734" max="4734" width="6.765625" style="1" customWidth="1"/>
    <col min="4735" max="4735" width="9.3046875" style="1" customWidth="1"/>
    <col min="4736" max="4736" width="9.4609375" style="1" customWidth="1"/>
    <col min="4737" max="4737" width="5.765625" style="1" customWidth="1"/>
    <col min="4738" max="4738" width="6.23046875" style="1" customWidth="1"/>
    <col min="4739" max="4739" width="9" style="1" customWidth="1"/>
    <col min="4740" max="4740" width="13.3046875" style="1" customWidth="1"/>
    <col min="4741" max="4741" width="9.765625" style="1" customWidth="1"/>
    <col min="4742" max="4743" width="9" style="1" hidden="1" customWidth="1"/>
    <col min="4744" max="4978" width="8.69140625" style="1"/>
    <col min="4979" max="4979" width="9" style="1" customWidth="1"/>
    <col min="4980" max="4980" width="12.69140625" style="1" customWidth="1"/>
    <col min="4981" max="4981" width="12.07421875" style="1" customWidth="1"/>
    <col min="4982" max="4982" width="6.4609375" style="1" customWidth="1"/>
    <col min="4983" max="4983" width="5.4609375" style="1" customWidth="1"/>
    <col min="4984" max="4984" width="9.3046875" style="1" customWidth="1"/>
    <col min="4985" max="4989" width="4.765625" style="1" customWidth="1"/>
    <col min="4990" max="4990" width="6.765625" style="1" customWidth="1"/>
    <col min="4991" max="4991" width="9.3046875" style="1" customWidth="1"/>
    <col min="4992" max="4992" width="9.4609375" style="1" customWidth="1"/>
    <col min="4993" max="4993" width="5.765625" style="1" customWidth="1"/>
    <col min="4994" max="4994" width="6.23046875" style="1" customWidth="1"/>
    <col min="4995" max="4995" width="9" style="1" customWidth="1"/>
    <col min="4996" max="4996" width="13.3046875" style="1" customWidth="1"/>
    <col min="4997" max="4997" width="9.765625" style="1" customWidth="1"/>
    <col min="4998" max="4999" width="9" style="1" hidden="1" customWidth="1"/>
    <col min="5000" max="5234" width="8.69140625" style="1"/>
    <col min="5235" max="5235" width="9" style="1" customWidth="1"/>
    <col min="5236" max="5236" width="12.69140625" style="1" customWidth="1"/>
    <col min="5237" max="5237" width="12.07421875" style="1" customWidth="1"/>
    <col min="5238" max="5238" width="6.4609375" style="1" customWidth="1"/>
    <col min="5239" max="5239" width="5.4609375" style="1" customWidth="1"/>
    <col min="5240" max="5240" width="9.3046875" style="1" customWidth="1"/>
    <col min="5241" max="5245" width="4.765625" style="1" customWidth="1"/>
    <col min="5246" max="5246" width="6.765625" style="1" customWidth="1"/>
    <col min="5247" max="5247" width="9.3046875" style="1" customWidth="1"/>
    <col min="5248" max="5248" width="9.4609375" style="1" customWidth="1"/>
    <col min="5249" max="5249" width="5.765625" style="1" customWidth="1"/>
    <col min="5250" max="5250" width="6.23046875" style="1" customWidth="1"/>
    <col min="5251" max="5251" width="9" style="1" customWidth="1"/>
    <col min="5252" max="5252" width="13.3046875" style="1" customWidth="1"/>
    <col min="5253" max="5253" width="9.765625" style="1" customWidth="1"/>
    <col min="5254" max="5255" width="9" style="1" hidden="1" customWidth="1"/>
    <col min="5256" max="5490" width="8.69140625" style="1"/>
    <col min="5491" max="5491" width="9" style="1" customWidth="1"/>
    <col min="5492" max="5492" width="12.69140625" style="1" customWidth="1"/>
    <col min="5493" max="5493" width="12.07421875" style="1" customWidth="1"/>
    <col min="5494" max="5494" width="6.4609375" style="1" customWidth="1"/>
    <col min="5495" max="5495" width="5.4609375" style="1" customWidth="1"/>
    <col min="5496" max="5496" width="9.3046875" style="1" customWidth="1"/>
    <col min="5497" max="5501" width="4.765625" style="1" customWidth="1"/>
    <col min="5502" max="5502" width="6.765625" style="1" customWidth="1"/>
    <col min="5503" max="5503" width="9.3046875" style="1" customWidth="1"/>
    <col min="5504" max="5504" width="9.4609375" style="1" customWidth="1"/>
    <col min="5505" max="5505" width="5.765625" style="1" customWidth="1"/>
    <col min="5506" max="5506" width="6.23046875" style="1" customWidth="1"/>
    <col min="5507" max="5507" width="9" style="1" customWidth="1"/>
    <col min="5508" max="5508" width="13.3046875" style="1" customWidth="1"/>
    <col min="5509" max="5509" width="9.765625" style="1" customWidth="1"/>
    <col min="5510" max="5511" width="9" style="1" hidden="1" customWidth="1"/>
    <col min="5512" max="5746" width="8.69140625" style="1"/>
    <col min="5747" max="5747" width="9" style="1" customWidth="1"/>
    <col min="5748" max="5748" width="12.69140625" style="1" customWidth="1"/>
    <col min="5749" max="5749" width="12.07421875" style="1" customWidth="1"/>
    <col min="5750" max="5750" width="6.4609375" style="1" customWidth="1"/>
    <col min="5751" max="5751" width="5.4609375" style="1" customWidth="1"/>
    <col min="5752" max="5752" width="9.3046875" style="1" customWidth="1"/>
    <col min="5753" max="5757" width="4.765625" style="1" customWidth="1"/>
    <col min="5758" max="5758" width="6.765625" style="1" customWidth="1"/>
    <col min="5759" max="5759" width="9.3046875" style="1" customWidth="1"/>
    <col min="5760" max="5760" width="9.4609375" style="1" customWidth="1"/>
    <col min="5761" max="5761" width="5.765625" style="1" customWidth="1"/>
    <col min="5762" max="5762" width="6.23046875" style="1" customWidth="1"/>
    <col min="5763" max="5763" width="9" style="1" customWidth="1"/>
    <col min="5764" max="5764" width="13.3046875" style="1" customWidth="1"/>
    <col min="5765" max="5765" width="9.765625" style="1" customWidth="1"/>
    <col min="5766" max="5767" width="9" style="1" hidden="1" customWidth="1"/>
    <col min="5768" max="6002" width="8.69140625" style="1"/>
    <col min="6003" max="6003" width="9" style="1" customWidth="1"/>
    <col min="6004" max="6004" width="12.69140625" style="1" customWidth="1"/>
    <col min="6005" max="6005" width="12.07421875" style="1" customWidth="1"/>
    <col min="6006" max="6006" width="6.4609375" style="1" customWidth="1"/>
    <col min="6007" max="6007" width="5.4609375" style="1" customWidth="1"/>
    <col min="6008" max="6008" width="9.3046875" style="1" customWidth="1"/>
    <col min="6009" max="6013" width="4.765625" style="1" customWidth="1"/>
    <col min="6014" max="6014" width="6.765625" style="1" customWidth="1"/>
    <col min="6015" max="6015" width="9.3046875" style="1" customWidth="1"/>
    <col min="6016" max="6016" width="9.4609375" style="1" customWidth="1"/>
    <col min="6017" max="6017" width="5.765625" style="1" customWidth="1"/>
    <col min="6018" max="6018" width="6.23046875" style="1" customWidth="1"/>
    <col min="6019" max="6019" width="9" style="1" customWidth="1"/>
    <col min="6020" max="6020" width="13.3046875" style="1" customWidth="1"/>
    <col min="6021" max="6021" width="9.765625" style="1" customWidth="1"/>
    <col min="6022" max="6023" width="9" style="1" hidden="1" customWidth="1"/>
    <col min="6024" max="6258" width="8.69140625" style="1"/>
    <col min="6259" max="6259" width="9" style="1" customWidth="1"/>
    <col min="6260" max="6260" width="12.69140625" style="1" customWidth="1"/>
    <col min="6261" max="6261" width="12.07421875" style="1" customWidth="1"/>
    <col min="6262" max="6262" width="6.4609375" style="1" customWidth="1"/>
    <col min="6263" max="6263" width="5.4609375" style="1" customWidth="1"/>
    <col min="6264" max="6264" width="9.3046875" style="1" customWidth="1"/>
    <col min="6265" max="6269" width="4.765625" style="1" customWidth="1"/>
    <col min="6270" max="6270" width="6.765625" style="1" customWidth="1"/>
    <col min="6271" max="6271" width="9.3046875" style="1" customWidth="1"/>
    <col min="6272" max="6272" width="9.4609375" style="1" customWidth="1"/>
    <col min="6273" max="6273" width="5.765625" style="1" customWidth="1"/>
    <col min="6274" max="6274" width="6.23046875" style="1" customWidth="1"/>
    <col min="6275" max="6275" width="9" style="1" customWidth="1"/>
    <col min="6276" max="6276" width="13.3046875" style="1" customWidth="1"/>
    <col min="6277" max="6277" width="9.765625" style="1" customWidth="1"/>
    <col min="6278" max="6279" width="9" style="1" hidden="1" customWidth="1"/>
    <col min="6280" max="6514" width="8.69140625" style="1"/>
    <col min="6515" max="6515" width="9" style="1" customWidth="1"/>
    <col min="6516" max="6516" width="12.69140625" style="1" customWidth="1"/>
    <col min="6517" max="6517" width="12.07421875" style="1" customWidth="1"/>
    <col min="6518" max="6518" width="6.4609375" style="1" customWidth="1"/>
    <col min="6519" max="6519" width="5.4609375" style="1" customWidth="1"/>
    <col min="6520" max="6520" width="9.3046875" style="1" customWidth="1"/>
    <col min="6521" max="6525" width="4.765625" style="1" customWidth="1"/>
    <col min="6526" max="6526" width="6.765625" style="1" customWidth="1"/>
    <col min="6527" max="6527" width="9.3046875" style="1" customWidth="1"/>
    <col min="6528" max="6528" width="9.4609375" style="1" customWidth="1"/>
    <col min="6529" max="6529" width="5.765625" style="1" customWidth="1"/>
    <col min="6530" max="6530" width="6.23046875" style="1" customWidth="1"/>
    <col min="6531" max="6531" width="9" style="1" customWidth="1"/>
    <col min="6532" max="6532" width="13.3046875" style="1" customWidth="1"/>
    <col min="6533" max="6533" width="9.765625" style="1" customWidth="1"/>
    <col min="6534" max="6535" width="9" style="1" hidden="1" customWidth="1"/>
    <col min="6536" max="6770" width="8.69140625" style="1"/>
    <col min="6771" max="6771" width="9" style="1" customWidth="1"/>
    <col min="6772" max="6772" width="12.69140625" style="1" customWidth="1"/>
    <col min="6773" max="6773" width="12.07421875" style="1" customWidth="1"/>
    <col min="6774" max="6774" width="6.4609375" style="1" customWidth="1"/>
    <col min="6775" max="6775" width="5.4609375" style="1" customWidth="1"/>
    <col min="6776" max="6776" width="9.3046875" style="1" customWidth="1"/>
    <col min="6777" max="6781" width="4.765625" style="1" customWidth="1"/>
    <col min="6782" max="6782" width="6.765625" style="1" customWidth="1"/>
    <col min="6783" max="6783" width="9.3046875" style="1" customWidth="1"/>
    <col min="6784" max="6784" width="9.4609375" style="1" customWidth="1"/>
    <col min="6785" max="6785" width="5.765625" style="1" customWidth="1"/>
    <col min="6786" max="6786" width="6.23046875" style="1" customWidth="1"/>
    <col min="6787" max="6787" width="9" style="1" customWidth="1"/>
    <col min="6788" max="6788" width="13.3046875" style="1" customWidth="1"/>
    <col min="6789" max="6789" width="9.765625" style="1" customWidth="1"/>
    <col min="6790" max="6791" width="9" style="1" hidden="1" customWidth="1"/>
    <col min="6792" max="7026" width="8.69140625" style="1"/>
    <col min="7027" max="7027" width="9" style="1" customWidth="1"/>
    <col min="7028" max="7028" width="12.69140625" style="1" customWidth="1"/>
    <col min="7029" max="7029" width="12.07421875" style="1" customWidth="1"/>
    <col min="7030" max="7030" width="6.4609375" style="1" customWidth="1"/>
    <col min="7031" max="7031" width="5.4609375" style="1" customWidth="1"/>
    <col min="7032" max="7032" width="9.3046875" style="1" customWidth="1"/>
    <col min="7033" max="7037" width="4.765625" style="1" customWidth="1"/>
    <col min="7038" max="7038" width="6.765625" style="1" customWidth="1"/>
    <col min="7039" max="7039" width="9.3046875" style="1" customWidth="1"/>
    <col min="7040" max="7040" width="9.4609375" style="1" customWidth="1"/>
    <col min="7041" max="7041" width="5.765625" style="1" customWidth="1"/>
    <col min="7042" max="7042" width="6.23046875" style="1" customWidth="1"/>
    <col min="7043" max="7043" width="9" style="1" customWidth="1"/>
    <col min="7044" max="7044" width="13.3046875" style="1" customWidth="1"/>
    <col min="7045" max="7045" width="9.765625" style="1" customWidth="1"/>
    <col min="7046" max="7047" width="9" style="1" hidden="1" customWidth="1"/>
    <col min="7048" max="7282" width="8.69140625" style="1"/>
    <col min="7283" max="7283" width="9" style="1" customWidth="1"/>
    <col min="7284" max="7284" width="12.69140625" style="1" customWidth="1"/>
    <col min="7285" max="7285" width="12.07421875" style="1" customWidth="1"/>
    <col min="7286" max="7286" width="6.4609375" style="1" customWidth="1"/>
    <col min="7287" max="7287" width="5.4609375" style="1" customWidth="1"/>
    <col min="7288" max="7288" width="9.3046875" style="1" customWidth="1"/>
    <col min="7289" max="7293" width="4.765625" style="1" customWidth="1"/>
    <col min="7294" max="7294" width="6.765625" style="1" customWidth="1"/>
    <col min="7295" max="7295" width="9.3046875" style="1" customWidth="1"/>
    <col min="7296" max="7296" width="9.4609375" style="1" customWidth="1"/>
    <col min="7297" max="7297" width="5.765625" style="1" customWidth="1"/>
    <col min="7298" max="7298" width="6.23046875" style="1" customWidth="1"/>
    <col min="7299" max="7299" width="9" style="1" customWidth="1"/>
    <col min="7300" max="7300" width="13.3046875" style="1" customWidth="1"/>
    <col min="7301" max="7301" width="9.765625" style="1" customWidth="1"/>
    <col min="7302" max="7303" width="9" style="1" hidden="1" customWidth="1"/>
    <col min="7304" max="7538" width="8.69140625" style="1"/>
    <col min="7539" max="7539" width="9" style="1" customWidth="1"/>
    <col min="7540" max="7540" width="12.69140625" style="1" customWidth="1"/>
    <col min="7541" max="7541" width="12.07421875" style="1" customWidth="1"/>
    <col min="7542" max="7542" width="6.4609375" style="1" customWidth="1"/>
    <col min="7543" max="7543" width="5.4609375" style="1" customWidth="1"/>
    <col min="7544" max="7544" width="9.3046875" style="1" customWidth="1"/>
    <col min="7545" max="7549" width="4.765625" style="1" customWidth="1"/>
    <col min="7550" max="7550" width="6.765625" style="1" customWidth="1"/>
    <col min="7551" max="7551" width="9.3046875" style="1" customWidth="1"/>
    <col min="7552" max="7552" width="9.4609375" style="1" customWidth="1"/>
    <col min="7553" max="7553" width="5.765625" style="1" customWidth="1"/>
    <col min="7554" max="7554" width="6.23046875" style="1" customWidth="1"/>
    <col min="7555" max="7555" width="9" style="1" customWidth="1"/>
    <col min="7556" max="7556" width="13.3046875" style="1" customWidth="1"/>
    <col min="7557" max="7557" width="9.765625" style="1" customWidth="1"/>
    <col min="7558" max="7559" width="9" style="1" hidden="1" customWidth="1"/>
    <col min="7560" max="7794" width="8.69140625" style="1"/>
    <col min="7795" max="7795" width="9" style="1" customWidth="1"/>
    <col min="7796" max="7796" width="12.69140625" style="1" customWidth="1"/>
    <col min="7797" max="7797" width="12.07421875" style="1" customWidth="1"/>
    <col min="7798" max="7798" width="6.4609375" style="1" customWidth="1"/>
    <col min="7799" max="7799" width="5.4609375" style="1" customWidth="1"/>
    <col min="7800" max="7800" width="9.3046875" style="1" customWidth="1"/>
    <col min="7801" max="7805" width="4.765625" style="1" customWidth="1"/>
    <col min="7806" max="7806" width="6.765625" style="1" customWidth="1"/>
    <col min="7807" max="7807" width="9.3046875" style="1" customWidth="1"/>
    <col min="7808" max="7808" width="9.4609375" style="1" customWidth="1"/>
    <col min="7809" max="7809" width="5.765625" style="1" customWidth="1"/>
    <col min="7810" max="7810" width="6.23046875" style="1" customWidth="1"/>
    <col min="7811" max="7811" width="9" style="1" customWidth="1"/>
    <col min="7812" max="7812" width="13.3046875" style="1" customWidth="1"/>
    <col min="7813" max="7813" width="9.765625" style="1" customWidth="1"/>
    <col min="7814" max="7815" width="9" style="1" hidden="1" customWidth="1"/>
    <col min="7816" max="8050" width="8.69140625" style="1"/>
    <col min="8051" max="8051" width="9" style="1" customWidth="1"/>
    <col min="8052" max="8052" width="12.69140625" style="1" customWidth="1"/>
    <col min="8053" max="8053" width="12.07421875" style="1" customWidth="1"/>
    <col min="8054" max="8054" width="6.4609375" style="1" customWidth="1"/>
    <col min="8055" max="8055" width="5.4609375" style="1" customWidth="1"/>
    <col min="8056" max="8056" width="9.3046875" style="1" customWidth="1"/>
    <col min="8057" max="8061" width="4.765625" style="1" customWidth="1"/>
    <col min="8062" max="8062" width="6.765625" style="1" customWidth="1"/>
    <col min="8063" max="8063" width="9.3046875" style="1" customWidth="1"/>
    <col min="8064" max="8064" width="9.4609375" style="1" customWidth="1"/>
    <col min="8065" max="8065" width="5.765625" style="1" customWidth="1"/>
    <col min="8066" max="8066" width="6.23046875" style="1" customWidth="1"/>
    <col min="8067" max="8067" width="9" style="1" customWidth="1"/>
    <col min="8068" max="8068" width="13.3046875" style="1" customWidth="1"/>
    <col min="8069" max="8069" width="9.765625" style="1" customWidth="1"/>
    <col min="8070" max="8071" width="9" style="1" hidden="1" customWidth="1"/>
    <col min="8072" max="8306" width="8.69140625" style="1"/>
    <col min="8307" max="8307" width="9" style="1" customWidth="1"/>
    <col min="8308" max="8308" width="12.69140625" style="1" customWidth="1"/>
    <col min="8309" max="8309" width="12.07421875" style="1" customWidth="1"/>
    <col min="8310" max="8310" width="6.4609375" style="1" customWidth="1"/>
    <col min="8311" max="8311" width="5.4609375" style="1" customWidth="1"/>
    <col min="8312" max="8312" width="9.3046875" style="1" customWidth="1"/>
    <col min="8313" max="8317" width="4.765625" style="1" customWidth="1"/>
    <col min="8318" max="8318" width="6.765625" style="1" customWidth="1"/>
    <col min="8319" max="8319" width="9.3046875" style="1" customWidth="1"/>
    <col min="8320" max="8320" width="9.4609375" style="1" customWidth="1"/>
    <col min="8321" max="8321" width="5.765625" style="1" customWidth="1"/>
    <col min="8322" max="8322" width="6.23046875" style="1" customWidth="1"/>
    <col min="8323" max="8323" width="9" style="1" customWidth="1"/>
    <col min="8324" max="8324" width="13.3046875" style="1" customWidth="1"/>
    <col min="8325" max="8325" width="9.765625" style="1" customWidth="1"/>
    <col min="8326" max="8327" width="9" style="1" hidden="1" customWidth="1"/>
    <col min="8328" max="8562" width="8.69140625" style="1"/>
    <col min="8563" max="8563" width="9" style="1" customWidth="1"/>
    <col min="8564" max="8564" width="12.69140625" style="1" customWidth="1"/>
    <col min="8565" max="8565" width="12.07421875" style="1" customWidth="1"/>
    <col min="8566" max="8566" width="6.4609375" style="1" customWidth="1"/>
    <col min="8567" max="8567" width="5.4609375" style="1" customWidth="1"/>
    <col min="8568" max="8568" width="9.3046875" style="1" customWidth="1"/>
    <col min="8569" max="8573" width="4.765625" style="1" customWidth="1"/>
    <col min="8574" max="8574" width="6.765625" style="1" customWidth="1"/>
    <col min="8575" max="8575" width="9.3046875" style="1" customWidth="1"/>
    <col min="8576" max="8576" width="9.4609375" style="1" customWidth="1"/>
    <col min="8577" max="8577" width="5.765625" style="1" customWidth="1"/>
    <col min="8578" max="8578" width="6.23046875" style="1" customWidth="1"/>
    <col min="8579" max="8579" width="9" style="1" customWidth="1"/>
    <col min="8580" max="8580" width="13.3046875" style="1" customWidth="1"/>
    <col min="8581" max="8581" width="9.765625" style="1" customWidth="1"/>
    <col min="8582" max="8583" width="9" style="1" hidden="1" customWidth="1"/>
    <col min="8584" max="8818" width="8.69140625" style="1"/>
    <col min="8819" max="8819" width="9" style="1" customWidth="1"/>
    <col min="8820" max="8820" width="12.69140625" style="1" customWidth="1"/>
    <col min="8821" max="8821" width="12.07421875" style="1" customWidth="1"/>
    <col min="8822" max="8822" width="6.4609375" style="1" customWidth="1"/>
    <col min="8823" max="8823" width="5.4609375" style="1" customWidth="1"/>
    <col min="8824" max="8824" width="9.3046875" style="1" customWidth="1"/>
    <col min="8825" max="8829" width="4.765625" style="1" customWidth="1"/>
    <col min="8830" max="8830" width="6.765625" style="1" customWidth="1"/>
    <col min="8831" max="8831" width="9.3046875" style="1" customWidth="1"/>
    <col min="8832" max="8832" width="9.4609375" style="1" customWidth="1"/>
    <col min="8833" max="8833" width="5.765625" style="1" customWidth="1"/>
    <col min="8834" max="8834" width="6.23046875" style="1" customWidth="1"/>
    <col min="8835" max="8835" width="9" style="1" customWidth="1"/>
    <col min="8836" max="8836" width="13.3046875" style="1" customWidth="1"/>
    <col min="8837" max="8837" width="9.765625" style="1" customWidth="1"/>
    <col min="8838" max="8839" width="9" style="1" hidden="1" customWidth="1"/>
    <col min="8840" max="9074" width="8.69140625" style="1"/>
    <col min="9075" max="9075" width="9" style="1" customWidth="1"/>
    <col min="9076" max="9076" width="12.69140625" style="1" customWidth="1"/>
    <col min="9077" max="9077" width="12.07421875" style="1" customWidth="1"/>
    <col min="9078" max="9078" width="6.4609375" style="1" customWidth="1"/>
    <col min="9079" max="9079" width="5.4609375" style="1" customWidth="1"/>
    <col min="9080" max="9080" width="9.3046875" style="1" customWidth="1"/>
    <col min="9081" max="9085" width="4.765625" style="1" customWidth="1"/>
    <col min="9086" max="9086" width="6.765625" style="1" customWidth="1"/>
    <col min="9087" max="9087" width="9.3046875" style="1" customWidth="1"/>
    <col min="9088" max="9088" width="9.4609375" style="1" customWidth="1"/>
    <col min="9089" max="9089" width="5.765625" style="1" customWidth="1"/>
    <col min="9090" max="9090" width="6.23046875" style="1" customWidth="1"/>
    <col min="9091" max="9091" width="9" style="1" customWidth="1"/>
    <col min="9092" max="9092" width="13.3046875" style="1" customWidth="1"/>
    <col min="9093" max="9093" width="9.765625" style="1" customWidth="1"/>
    <col min="9094" max="9095" width="9" style="1" hidden="1" customWidth="1"/>
    <col min="9096" max="9330" width="8.69140625" style="1"/>
    <col min="9331" max="9331" width="9" style="1" customWidth="1"/>
    <col min="9332" max="9332" width="12.69140625" style="1" customWidth="1"/>
    <col min="9333" max="9333" width="12.07421875" style="1" customWidth="1"/>
    <col min="9334" max="9334" width="6.4609375" style="1" customWidth="1"/>
    <col min="9335" max="9335" width="5.4609375" style="1" customWidth="1"/>
    <col min="9336" max="9336" width="9.3046875" style="1" customWidth="1"/>
    <col min="9337" max="9341" width="4.765625" style="1" customWidth="1"/>
    <col min="9342" max="9342" width="6.765625" style="1" customWidth="1"/>
    <col min="9343" max="9343" width="9.3046875" style="1" customWidth="1"/>
    <col min="9344" max="9344" width="9.4609375" style="1" customWidth="1"/>
    <col min="9345" max="9345" width="5.765625" style="1" customWidth="1"/>
    <col min="9346" max="9346" width="6.23046875" style="1" customWidth="1"/>
    <col min="9347" max="9347" width="9" style="1" customWidth="1"/>
    <col min="9348" max="9348" width="13.3046875" style="1" customWidth="1"/>
    <col min="9349" max="9349" width="9.765625" style="1" customWidth="1"/>
    <col min="9350" max="9351" width="9" style="1" hidden="1" customWidth="1"/>
    <col min="9352" max="9586" width="8.69140625" style="1"/>
    <col min="9587" max="9587" width="9" style="1" customWidth="1"/>
    <col min="9588" max="9588" width="12.69140625" style="1" customWidth="1"/>
    <col min="9589" max="9589" width="12.07421875" style="1" customWidth="1"/>
    <col min="9590" max="9590" width="6.4609375" style="1" customWidth="1"/>
    <col min="9591" max="9591" width="5.4609375" style="1" customWidth="1"/>
    <col min="9592" max="9592" width="9.3046875" style="1" customWidth="1"/>
    <col min="9593" max="9597" width="4.765625" style="1" customWidth="1"/>
    <col min="9598" max="9598" width="6.765625" style="1" customWidth="1"/>
    <col min="9599" max="9599" width="9.3046875" style="1" customWidth="1"/>
    <col min="9600" max="9600" width="9.4609375" style="1" customWidth="1"/>
    <col min="9601" max="9601" width="5.765625" style="1" customWidth="1"/>
    <col min="9602" max="9602" width="6.23046875" style="1" customWidth="1"/>
    <col min="9603" max="9603" width="9" style="1" customWidth="1"/>
    <col min="9604" max="9604" width="13.3046875" style="1" customWidth="1"/>
    <col min="9605" max="9605" width="9.765625" style="1" customWidth="1"/>
    <col min="9606" max="9607" width="9" style="1" hidden="1" customWidth="1"/>
    <col min="9608" max="9842" width="8.69140625" style="1"/>
    <col min="9843" max="9843" width="9" style="1" customWidth="1"/>
    <col min="9844" max="9844" width="12.69140625" style="1" customWidth="1"/>
    <col min="9845" max="9845" width="12.07421875" style="1" customWidth="1"/>
    <col min="9846" max="9846" width="6.4609375" style="1" customWidth="1"/>
    <col min="9847" max="9847" width="5.4609375" style="1" customWidth="1"/>
    <col min="9848" max="9848" width="9.3046875" style="1" customWidth="1"/>
    <col min="9849" max="9853" width="4.765625" style="1" customWidth="1"/>
    <col min="9854" max="9854" width="6.765625" style="1" customWidth="1"/>
    <col min="9855" max="9855" width="9.3046875" style="1" customWidth="1"/>
    <col min="9856" max="9856" width="9.4609375" style="1" customWidth="1"/>
    <col min="9857" max="9857" width="5.765625" style="1" customWidth="1"/>
    <col min="9858" max="9858" width="6.23046875" style="1" customWidth="1"/>
    <col min="9859" max="9859" width="9" style="1" customWidth="1"/>
    <col min="9860" max="9860" width="13.3046875" style="1" customWidth="1"/>
    <col min="9861" max="9861" width="9.765625" style="1" customWidth="1"/>
    <col min="9862" max="9863" width="9" style="1" hidden="1" customWidth="1"/>
    <col min="9864" max="10098" width="8.69140625" style="1"/>
    <col min="10099" max="10099" width="9" style="1" customWidth="1"/>
    <col min="10100" max="10100" width="12.69140625" style="1" customWidth="1"/>
    <col min="10101" max="10101" width="12.07421875" style="1" customWidth="1"/>
    <col min="10102" max="10102" width="6.4609375" style="1" customWidth="1"/>
    <col min="10103" max="10103" width="5.4609375" style="1" customWidth="1"/>
    <col min="10104" max="10104" width="9.3046875" style="1" customWidth="1"/>
    <col min="10105" max="10109" width="4.765625" style="1" customWidth="1"/>
    <col min="10110" max="10110" width="6.765625" style="1" customWidth="1"/>
    <col min="10111" max="10111" width="9.3046875" style="1" customWidth="1"/>
    <col min="10112" max="10112" width="9.4609375" style="1" customWidth="1"/>
    <col min="10113" max="10113" width="5.765625" style="1" customWidth="1"/>
    <col min="10114" max="10114" width="6.23046875" style="1" customWidth="1"/>
    <col min="10115" max="10115" width="9" style="1" customWidth="1"/>
    <col min="10116" max="10116" width="13.3046875" style="1" customWidth="1"/>
    <col min="10117" max="10117" width="9.765625" style="1" customWidth="1"/>
    <col min="10118" max="10119" width="9" style="1" hidden="1" customWidth="1"/>
    <col min="10120" max="10354" width="8.69140625" style="1"/>
    <col min="10355" max="10355" width="9" style="1" customWidth="1"/>
    <col min="10356" max="10356" width="12.69140625" style="1" customWidth="1"/>
    <col min="10357" max="10357" width="12.07421875" style="1" customWidth="1"/>
    <col min="10358" max="10358" width="6.4609375" style="1" customWidth="1"/>
    <col min="10359" max="10359" width="5.4609375" style="1" customWidth="1"/>
    <col min="10360" max="10360" width="9.3046875" style="1" customWidth="1"/>
    <col min="10361" max="10365" width="4.765625" style="1" customWidth="1"/>
    <col min="10366" max="10366" width="6.765625" style="1" customWidth="1"/>
    <col min="10367" max="10367" width="9.3046875" style="1" customWidth="1"/>
    <col min="10368" max="10368" width="9.4609375" style="1" customWidth="1"/>
    <col min="10369" max="10369" width="5.765625" style="1" customWidth="1"/>
    <col min="10370" max="10370" width="6.23046875" style="1" customWidth="1"/>
    <col min="10371" max="10371" width="9" style="1" customWidth="1"/>
    <col min="10372" max="10372" width="13.3046875" style="1" customWidth="1"/>
    <col min="10373" max="10373" width="9.765625" style="1" customWidth="1"/>
    <col min="10374" max="10375" width="9" style="1" hidden="1" customWidth="1"/>
    <col min="10376" max="10610" width="8.69140625" style="1"/>
    <col min="10611" max="10611" width="9" style="1" customWidth="1"/>
    <col min="10612" max="10612" width="12.69140625" style="1" customWidth="1"/>
    <col min="10613" max="10613" width="12.07421875" style="1" customWidth="1"/>
    <col min="10614" max="10614" width="6.4609375" style="1" customWidth="1"/>
    <col min="10615" max="10615" width="5.4609375" style="1" customWidth="1"/>
    <col min="10616" max="10616" width="9.3046875" style="1" customWidth="1"/>
    <col min="10617" max="10621" width="4.765625" style="1" customWidth="1"/>
    <col min="10622" max="10622" width="6.765625" style="1" customWidth="1"/>
    <col min="10623" max="10623" width="9.3046875" style="1" customWidth="1"/>
    <col min="10624" max="10624" width="9.4609375" style="1" customWidth="1"/>
    <col min="10625" max="10625" width="5.765625" style="1" customWidth="1"/>
    <col min="10626" max="10626" width="6.23046875" style="1" customWidth="1"/>
    <col min="10627" max="10627" width="9" style="1" customWidth="1"/>
    <col min="10628" max="10628" width="13.3046875" style="1" customWidth="1"/>
    <col min="10629" max="10629" width="9.765625" style="1" customWidth="1"/>
    <col min="10630" max="10631" width="9" style="1" hidden="1" customWidth="1"/>
    <col min="10632" max="10866" width="8.69140625" style="1"/>
    <col min="10867" max="10867" width="9" style="1" customWidth="1"/>
    <col min="10868" max="10868" width="12.69140625" style="1" customWidth="1"/>
    <col min="10869" max="10869" width="12.07421875" style="1" customWidth="1"/>
    <col min="10870" max="10870" width="6.4609375" style="1" customWidth="1"/>
    <col min="10871" max="10871" width="5.4609375" style="1" customWidth="1"/>
    <col min="10872" max="10872" width="9.3046875" style="1" customWidth="1"/>
    <col min="10873" max="10877" width="4.765625" style="1" customWidth="1"/>
    <col min="10878" max="10878" width="6.765625" style="1" customWidth="1"/>
    <col min="10879" max="10879" width="9.3046875" style="1" customWidth="1"/>
    <col min="10880" max="10880" width="9.4609375" style="1" customWidth="1"/>
    <col min="10881" max="10881" width="5.765625" style="1" customWidth="1"/>
    <col min="10882" max="10882" width="6.23046875" style="1" customWidth="1"/>
    <col min="10883" max="10883" width="9" style="1" customWidth="1"/>
    <col min="10884" max="10884" width="13.3046875" style="1" customWidth="1"/>
    <col min="10885" max="10885" width="9.765625" style="1" customWidth="1"/>
    <col min="10886" max="10887" width="9" style="1" hidden="1" customWidth="1"/>
    <col min="10888" max="11122" width="8.69140625" style="1"/>
    <col min="11123" max="11123" width="9" style="1" customWidth="1"/>
    <col min="11124" max="11124" width="12.69140625" style="1" customWidth="1"/>
    <col min="11125" max="11125" width="12.07421875" style="1" customWidth="1"/>
    <col min="11126" max="11126" width="6.4609375" style="1" customWidth="1"/>
    <col min="11127" max="11127" width="5.4609375" style="1" customWidth="1"/>
    <col min="11128" max="11128" width="9.3046875" style="1" customWidth="1"/>
    <col min="11129" max="11133" width="4.765625" style="1" customWidth="1"/>
    <col min="11134" max="11134" width="6.765625" style="1" customWidth="1"/>
    <col min="11135" max="11135" width="9.3046875" style="1" customWidth="1"/>
    <col min="11136" max="11136" width="9.4609375" style="1" customWidth="1"/>
    <col min="11137" max="11137" width="5.765625" style="1" customWidth="1"/>
    <col min="11138" max="11138" width="6.23046875" style="1" customWidth="1"/>
    <col min="11139" max="11139" width="9" style="1" customWidth="1"/>
    <col min="11140" max="11140" width="13.3046875" style="1" customWidth="1"/>
    <col min="11141" max="11141" width="9.765625" style="1" customWidth="1"/>
    <col min="11142" max="11143" width="9" style="1" hidden="1" customWidth="1"/>
    <col min="11144" max="11378" width="8.69140625" style="1"/>
    <col min="11379" max="11379" width="9" style="1" customWidth="1"/>
    <col min="11380" max="11380" width="12.69140625" style="1" customWidth="1"/>
    <col min="11381" max="11381" width="12.07421875" style="1" customWidth="1"/>
    <col min="11382" max="11382" width="6.4609375" style="1" customWidth="1"/>
    <col min="11383" max="11383" width="5.4609375" style="1" customWidth="1"/>
    <col min="11384" max="11384" width="9.3046875" style="1" customWidth="1"/>
    <col min="11385" max="11389" width="4.765625" style="1" customWidth="1"/>
    <col min="11390" max="11390" width="6.765625" style="1" customWidth="1"/>
    <col min="11391" max="11391" width="9.3046875" style="1" customWidth="1"/>
    <col min="11392" max="11392" width="9.4609375" style="1" customWidth="1"/>
    <col min="11393" max="11393" width="5.765625" style="1" customWidth="1"/>
    <col min="11394" max="11394" width="6.23046875" style="1" customWidth="1"/>
    <col min="11395" max="11395" width="9" style="1" customWidth="1"/>
    <col min="11396" max="11396" width="13.3046875" style="1" customWidth="1"/>
    <col min="11397" max="11397" width="9.765625" style="1" customWidth="1"/>
    <col min="11398" max="11399" width="9" style="1" hidden="1" customWidth="1"/>
    <col min="11400" max="11634" width="8.69140625" style="1"/>
    <col min="11635" max="11635" width="9" style="1" customWidth="1"/>
    <col min="11636" max="11636" width="12.69140625" style="1" customWidth="1"/>
    <col min="11637" max="11637" width="12.07421875" style="1" customWidth="1"/>
    <col min="11638" max="11638" width="6.4609375" style="1" customWidth="1"/>
    <col min="11639" max="11639" width="5.4609375" style="1" customWidth="1"/>
    <col min="11640" max="11640" width="9.3046875" style="1" customWidth="1"/>
    <col min="11641" max="11645" width="4.765625" style="1" customWidth="1"/>
    <col min="11646" max="11646" width="6.765625" style="1" customWidth="1"/>
    <col min="11647" max="11647" width="9.3046875" style="1" customWidth="1"/>
    <col min="11648" max="11648" width="9.4609375" style="1" customWidth="1"/>
    <col min="11649" max="11649" width="5.765625" style="1" customWidth="1"/>
    <col min="11650" max="11650" width="6.23046875" style="1" customWidth="1"/>
    <col min="11651" max="11651" width="9" style="1" customWidth="1"/>
    <col min="11652" max="11652" width="13.3046875" style="1" customWidth="1"/>
    <col min="11653" max="11653" width="9.765625" style="1" customWidth="1"/>
    <col min="11654" max="11655" width="9" style="1" hidden="1" customWidth="1"/>
    <col min="11656" max="11890" width="8.69140625" style="1"/>
    <col min="11891" max="11891" width="9" style="1" customWidth="1"/>
    <col min="11892" max="11892" width="12.69140625" style="1" customWidth="1"/>
    <col min="11893" max="11893" width="12.07421875" style="1" customWidth="1"/>
    <col min="11894" max="11894" width="6.4609375" style="1" customWidth="1"/>
    <col min="11895" max="11895" width="5.4609375" style="1" customWidth="1"/>
    <col min="11896" max="11896" width="9.3046875" style="1" customWidth="1"/>
    <col min="11897" max="11901" width="4.765625" style="1" customWidth="1"/>
    <col min="11902" max="11902" width="6.765625" style="1" customWidth="1"/>
    <col min="11903" max="11903" width="9.3046875" style="1" customWidth="1"/>
    <col min="11904" max="11904" width="9.4609375" style="1" customWidth="1"/>
    <col min="11905" max="11905" width="5.765625" style="1" customWidth="1"/>
    <col min="11906" max="11906" width="6.23046875" style="1" customWidth="1"/>
    <col min="11907" max="11907" width="9" style="1" customWidth="1"/>
    <col min="11908" max="11908" width="13.3046875" style="1" customWidth="1"/>
    <col min="11909" max="11909" width="9.765625" style="1" customWidth="1"/>
    <col min="11910" max="11911" width="9" style="1" hidden="1" customWidth="1"/>
    <col min="11912" max="12146" width="8.69140625" style="1"/>
    <col min="12147" max="12147" width="9" style="1" customWidth="1"/>
    <col min="12148" max="12148" width="12.69140625" style="1" customWidth="1"/>
    <col min="12149" max="12149" width="12.07421875" style="1" customWidth="1"/>
    <col min="12150" max="12150" width="6.4609375" style="1" customWidth="1"/>
    <col min="12151" max="12151" width="5.4609375" style="1" customWidth="1"/>
    <col min="12152" max="12152" width="9.3046875" style="1" customWidth="1"/>
    <col min="12153" max="12157" width="4.765625" style="1" customWidth="1"/>
    <col min="12158" max="12158" width="6.765625" style="1" customWidth="1"/>
    <col min="12159" max="12159" width="9.3046875" style="1" customWidth="1"/>
    <col min="12160" max="12160" width="9.4609375" style="1" customWidth="1"/>
    <col min="12161" max="12161" width="5.765625" style="1" customWidth="1"/>
    <col min="12162" max="12162" width="6.23046875" style="1" customWidth="1"/>
    <col min="12163" max="12163" width="9" style="1" customWidth="1"/>
    <col min="12164" max="12164" width="13.3046875" style="1" customWidth="1"/>
    <col min="12165" max="12165" width="9.765625" style="1" customWidth="1"/>
    <col min="12166" max="12167" width="9" style="1" hidden="1" customWidth="1"/>
    <col min="12168" max="12402" width="8.69140625" style="1"/>
    <col min="12403" max="12403" width="9" style="1" customWidth="1"/>
    <col min="12404" max="12404" width="12.69140625" style="1" customWidth="1"/>
    <col min="12405" max="12405" width="12.07421875" style="1" customWidth="1"/>
    <col min="12406" max="12406" width="6.4609375" style="1" customWidth="1"/>
    <col min="12407" max="12407" width="5.4609375" style="1" customWidth="1"/>
    <col min="12408" max="12408" width="9.3046875" style="1" customWidth="1"/>
    <col min="12409" max="12413" width="4.765625" style="1" customWidth="1"/>
    <col min="12414" max="12414" width="6.765625" style="1" customWidth="1"/>
    <col min="12415" max="12415" width="9.3046875" style="1" customWidth="1"/>
    <col min="12416" max="12416" width="9.4609375" style="1" customWidth="1"/>
    <col min="12417" max="12417" width="5.765625" style="1" customWidth="1"/>
    <col min="12418" max="12418" width="6.23046875" style="1" customWidth="1"/>
    <col min="12419" max="12419" width="9" style="1" customWidth="1"/>
    <col min="12420" max="12420" width="13.3046875" style="1" customWidth="1"/>
    <col min="12421" max="12421" width="9.765625" style="1" customWidth="1"/>
    <col min="12422" max="12423" width="9" style="1" hidden="1" customWidth="1"/>
    <col min="12424" max="12658" width="8.69140625" style="1"/>
    <col min="12659" max="12659" width="9" style="1" customWidth="1"/>
    <col min="12660" max="12660" width="12.69140625" style="1" customWidth="1"/>
    <col min="12661" max="12661" width="12.07421875" style="1" customWidth="1"/>
    <col min="12662" max="12662" width="6.4609375" style="1" customWidth="1"/>
    <col min="12663" max="12663" width="5.4609375" style="1" customWidth="1"/>
    <col min="12664" max="12664" width="9.3046875" style="1" customWidth="1"/>
    <col min="12665" max="12669" width="4.765625" style="1" customWidth="1"/>
    <col min="12670" max="12670" width="6.765625" style="1" customWidth="1"/>
    <col min="12671" max="12671" width="9.3046875" style="1" customWidth="1"/>
    <col min="12672" max="12672" width="9.4609375" style="1" customWidth="1"/>
    <col min="12673" max="12673" width="5.765625" style="1" customWidth="1"/>
    <col min="12674" max="12674" width="6.23046875" style="1" customWidth="1"/>
    <col min="12675" max="12675" width="9" style="1" customWidth="1"/>
    <col min="12676" max="12676" width="13.3046875" style="1" customWidth="1"/>
    <col min="12677" max="12677" width="9.765625" style="1" customWidth="1"/>
    <col min="12678" max="12679" width="9" style="1" hidden="1" customWidth="1"/>
    <col min="12680" max="12914" width="8.69140625" style="1"/>
    <col min="12915" max="12915" width="9" style="1" customWidth="1"/>
    <col min="12916" max="12916" width="12.69140625" style="1" customWidth="1"/>
    <col min="12917" max="12917" width="12.07421875" style="1" customWidth="1"/>
    <col min="12918" max="12918" width="6.4609375" style="1" customWidth="1"/>
    <col min="12919" max="12919" width="5.4609375" style="1" customWidth="1"/>
    <col min="12920" max="12920" width="9.3046875" style="1" customWidth="1"/>
    <col min="12921" max="12925" width="4.765625" style="1" customWidth="1"/>
    <col min="12926" max="12926" width="6.765625" style="1" customWidth="1"/>
    <col min="12927" max="12927" width="9.3046875" style="1" customWidth="1"/>
    <col min="12928" max="12928" width="9.4609375" style="1" customWidth="1"/>
    <col min="12929" max="12929" width="5.765625" style="1" customWidth="1"/>
    <col min="12930" max="12930" width="6.23046875" style="1" customWidth="1"/>
    <col min="12931" max="12931" width="9" style="1" customWidth="1"/>
    <col min="12932" max="12932" width="13.3046875" style="1" customWidth="1"/>
    <col min="12933" max="12933" width="9.765625" style="1" customWidth="1"/>
    <col min="12934" max="12935" width="9" style="1" hidden="1" customWidth="1"/>
    <col min="12936" max="13170" width="8.69140625" style="1"/>
    <col min="13171" max="13171" width="9" style="1" customWidth="1"/>
    <col min="13172" max="13172" width="12.69140625" style="1" customWidth="1"/>
    <col min="13173" max="13173" width="12.07421875" style="1" customWidth="1"/>
    <col min="13174" max="13174" width="6.4609375" style="1" customWidth="1"/>
    <col min="13175" max="13175" width="5.4609375" style="1" customWidth="1"/>
    <col min="13176" max="13176" width="9.3046875" style="1" customWidth="1"/>
    <col min="13177" max="13181" width="4.765625" style="1" customWidth="1"/>
    <col min="13182" max="13182" width="6.765625" style="1" customWidth="1"/>
    <col min="13183" max="13183" width="9.3046875" style="1" customWidth="1"/>
    <col min="13184" max="13184" width="9.4609375" style="1" customWidth="1"/>
    <col min="13185" max="13185" width="5.765625" style="1" customWidth="1"/>
    <col min="13186" max="13186" width="6.23046875" style="1" customWidth="1"/>
    <col min="13187" max="13187" width="9" style="1" customWidth="1"/>
    <col min="13188" max="13188" width="13.3046875" style="1" customWidth="1"/>
    <col min="13189" max="13189" width="9.765625" style="1" customWidth="1"/>
    <col min="13190" max="13191" width="9" style="1" hidden="1" customWidth="1"/>
    <col min="13192" max="13426" width="8.69140625" style="1"/>
    <col min="13427" max="13427" width="9" style="1" customWidth="1"/>
    <col min="13428" max="13428" width="12.69140625" style="1" customWidth="1"/>
    <col min="13429" max="13429" width="12.07421875" style="1" customWidth="1"/>
    <col min="13430" max="13430" width="6.4609375" style="1" customWidth="1"/>
    <col min="13431" max="13431" width="5.4609375" style="1" customWidth="1"/>
    <col min="13432" max="13432" width="9.3046875" style="1" customWidth="1"/>
    <col min="13433" max="13437" width="4.765625" style="1" customWidth="1"/>
    <col min="13438" max="13438" width="6.765625" style="1" customWidth="1"/>
    <col min="13439" max="13439" width="9.3046875" style="1" customWidth="1"/>
    <col min="13440" max="13440" width="9.4609375" style="1" customWidth="1"/>
    <col min="13441" max="13441" width="5.765625" style="1" customWidth="1"/>
    <col min="13442" max="13442" width="6.23046875" style="1" customWidth="1"/>
    <col min="13443" max="13443" width="9" style="1" customWidth="1"/>
    <col min="13444" max="13444" width="13.3046875" style="1" customWidth="1"/>
    <col min="13445" max="13445" width="9.765625" style="1" customWidth="1"/>
    <col min="13446" max="13447" width="9" style="1" hidden="1" customWidth="1"/>
    <col min="13448" max="13682" width="8.69140625" style="1"/>
    <col min="13683" max="13683" width="9" style="1" customWidth="1"/>
    <col min="13684" max="13684" width="12.69140625" style="1" customWidth="1"/>
    <col min="13685" max="13685" width="12.07421875" style="1" customWidth="1"/>
    <col min="13686" max="13686" width="6.4609375" style="1" customWidth="1"/>
    <col min="13687" max="13687" width="5.4609375" style="1" customWidth="1"/>
    <col min="13688" max="13688" width="9.3046875" style="1" customWidth="1"/>
    <col min="13689" max="13693" width="4.765625" style="1" customWidth="1"/>
    <col min="13694" max="13694" width="6.765625" style="1" customWidth="1"/>
    <col min="13695" max="13695" width="9.3046875" style="1" customWidth="1"/>
    <col min="13696" max="13696" width="9.4609375" style="1" customWidth="1"/>
    <col min="13697" max="13697" width="5.765625" style="1" customWidth="1"/>
    <col min="13698" max="13698" width="6.23046875" style="1" customWidth="1"/>
    <col min="13699" max="13699" width="9" style="1" customWidth="1"/>
    <col min="13700" max="13700" width="13.3046875" style="1" customWidth="1"/>
    <col min="13701" max="13701" width="9.765625" style="1" customWidth="1"/>
    <col min="13702" max="13703" width="9" style="1" hidden="1" customWidth="1"/>
    <col min="13704" max="13938" width="8.69140625" style="1"/>
    <col min="13939" max="13939" width="9" style="1" customWidth="1"/>
    <col min="13940" max="13940" width="12.69140625" style="1" customWidth="1"/>
    <col min="13941" max="13941" width="12.07421875" style="1" customWidth="1"/>
    <col min="13942" max="13942" width="6.4609375" style="1" customWidth="1"/>
    <col min="13943" max="13943" width="5.4609375" style="1" customWidth="1"/>
    <col min="13944" max="13944" width="9.3046875" style="1" customWidth="1"/>
    <col min="13945" max="13949" width="4.765625" style="1" customWidth="1"/>
    <col min="13950" max="13950" width="6.765625" style="1" customWidth="1"/>
    <col min="13951" max="13951" width="9.3046875" style="1" customWidth="1"/>
    <col min="13952" max="13952" width="9.4609375" style="1" customWidth="1"/>
    <col min="13953" max="13953" width="5.765625" style="1" customWidth="1"/>
    <col min="13954" max="13954" width="6.23046875" style="1" customWidth="1"/>
    <col min="13955" max="13955" width="9" style="1" customWidth="1"/>
    <col min="13956" max="13956" width="13.3046875" style="1" customWidth="1"/>
    <col min="13957" max="13957" width="9.765625" style="1" customWidth="1"/>
    <col min="13958" max="13959" width="9" style="1" hidden="1" customWidth="1"/>
    <col min="13960" max="14194" width="8.69140625" style="1"/>
    <col min="14195" max="14195" width="9" style="1" customWidth="1"/>
    <col min="14196" max="14196" width="12.69140625" style="1" customWidth="1"/>
    <col min="14197" max="14197" width="12.07421875" style="1" customWidth="1"/>
    <col min="14198" max="14198" width="6.4609375" style="1" customWidth="1"/>
    <col min="14199" max="14199" width="5.4609375" style="1" customWidth="1"/>
    <col min="14200" max="14200" width="9.3046875" style="1" customWidth="1"/>
    <col min="14201" max="14205" width="4.765625" style="1" customWidth="1"/>
    <col min="14206" max="14206" width="6.765625" style="1" customWidth="1"/>
    <col min="14207" max="14207" width="9.3046875" style="1" customWidth="1"/>
    <col min="14208" max="14208" width="9.4609375" style="1" customWidth="1"/>
    <col min="14209" max="14209" width="5.765625" style="1" customWidth="1"/>
    <col min="14210" max="14210" width="6.23046875" style="1" customWidth="1"/>
    <col min="14211" max="14211" width="9" style="1" customWidth="1"/>
    <col min="14212" max="14212" width="13.3046875" style="1" customWidth="1"/>
    <col min="14213" max="14213" width="9.765625" style="1" customWidth="1"/>
    <col min="14214" max="14215" width="9" style="1" hidden="1" customWidth="1"/>
    <col min="14216" max="14450" width="8.69140625" style="1"/>
    <col min="14451" max="14451" width="9" style="1" customWidth="1"/>
    <col min="14452" max="14452" width="12.69140625" style="1" customWidth="1"/>
    <col min="14453" max="14453" width="12.07421875" style="1" customWidth="1"/>
    <col min="14454" max="14454" width="6.4609375" style="1" customWidth="1"/>
    <col min="14455" max="14455" width="5.4609375" style="1" customWidth="1"/>
    <col min="14456" max="14456" width="9.3046875" style="1" customWidth="1"/>
    <col min="14457" max="14461" width="4.765625" style="1" customWidth="1"/>
    <col min="14462" max="14462" width="6.765625" style="1" customWidth="1"/>
    <col min="14463" max="14463" width="9.3046875" style="1" customWidth="1"/>
    <col min="14464" max="14464" width="9.4609375" style="1" customWidth="1"/>
    <col min="14465" max="14465" width="5.765625" style="1" customWidth="1"/>
    <col min="14466" max="14466" width="6.23046875" style="1" customWidth="1"/>
    <col min="14467" max="14467" width="9" style="1" customWidth="1"/>
    <col min="14468" max="14468" width="13.3046875" style="1" customWidth="1"/>
    <col min="14469" max="14469" width="9.765625" style="1" customWidth="1"/>
    <col min="14470" max="14471" width="9" style="1" hidden="1" customWidth="1"/>
    <col min="14472" max="14706" width="8.69140625" style="1"/>
    <col min="14707" max="14707" width="9" style="1" customWidth="1"/>
    <col min="14708" max="14708" width="12.69140625" style="1" customWidth="1"/>
    <col min="14709" max="14709" width="12.07421875" style="1" customWidth="1"/>
    <col min="14710" max="14710" width="6.4609375" style="1" customWidth="1"/>
    <col min="14711" max="14711" width="5.4609375" style="1" customWidth="1"/>
    <col min="14712" max="14712" width="9.3046875" style="1" customWidth="1"/>
    <col min="14713" max="14717" width="4.765625" style="1" customWidth="1"/>
    <col min="14718" max="14718" width="6.765625" style="1" customWidth="1"/>
    <col min="14719" max="14719" width="9.3046875" style="1" customWidth="1"/>
    <col min="14720" max="14720" width="9.4609375" style="1" customWidth="1"/>
    <col min="14721" max="14721" width="5.765625" style="1" customWidth="1"/>
    <col min="14722" max="14722" width="6.23046875" style="1" customWidth="1"/>
    <col min="14723" max="14723" width="9" style="1" customWidth="1"/>
    <col min="14724" max="14724" width="13.3046875" style="1" customWidth="1"/>
    <col min="14725" max="14725" width="9.765625" style="1" customWidth="1"/>
    <col min="14726" max="14727" width="9" style="1" hidden="1" customWidth="1"/>
    <col min="14728" max="14962" width="8.69140625" style="1"/>
    <col min="14963" max="14963" width="9" style="1" customWidth="1"/>
    <col min="14964" max="14964" width="12.69140625" style="1" customWidth="1"/>
    <col min="14965" max="14965" width="12.07421875" style="1" customWidth="1"/>
    <col min="14966" max="14966" width="6.4609375" style="1" customWidth="1"/>
    <col min="14967" max="14967" width="5.4609375" style="1" customWidth="1"/>
    <col min="14968" max="14968" width="9.3046875" style="1" customWidth="1"/>
    <col min="14969" max="14973" width="4.765625" style="1" customWidth="1"/>
    <col min="14974" max="14974" width="6.765625" style="1" customWidth="1"/>
    <col min="14975" max="14975" width="9.3046875" style="1" customWidth="1"/>
    <col min="14976" max="14976" width="9.4609375" style="1" customWidth="1"/>
    <col min="14977" max="14977" width="5.765625" style="1" customWidth="1"/>
    <col min="14978" max="14978" width="6.23046875" style="1" customWidth="1"/>
    <col min="14979" max="14979" width="9" style="1" customWidth="1"/>
    <col min="14980" max="14980" width="13.3046875" style="1" customWidth="1"/>
    <col min="14981" max="14981" width="9.765625" style="1" customWidth="1"/>
    <col min="14982" max="14983" width="9" style="1" hidden="1" customWidth="1"/>
    <col min="14984" max="15218" width="8.69140625" style="1"/>
    <col min="15219" max="15219" width="9" style="1" customWidth="1"/>
    <col min="15220" max="15220" width="12.69140625" style="1" customWidth="1"/>
    <col min="15221" max="15221" width="12.07421875" style="1" customWidth="1"/>
    <col min="15222" max="15222" width="6.4609375" style="1" customWidth="1"/>
    <col min="15223" max="15223" width="5.4609375" style="1" customWidth="1"/>
    <col min="15224" max="15224" width="9.3046875" style="1" customWidth="1"/>
    <col min="15225" max="15229" width="4.765625" style="1" customWidth="1"/>
    <col min="15230" max="15230" width="6.765625" style="1" customWidth="1"/>
    <col min="15231" max="15231" width="9.3046875" style="1" customWidth="1"/>
    <col min="15232" max="15232" width="9.4609375" style="1" customWidth="1"/>
    <col min="15233" max="15233" width="5.765625" style="1" customWidth="1"/>
    <col min="15234" max="15234" width="6.23046875" style="1" customWidth="1"/>
    <col min="15235" max="15235" width="9" style="1" customWidth="1"/>
    <col min="15236" max="15236" width="13.3046875" style="1" customWidth="1"/>
    <col min="15237" max="15237" width="9.765625" style="1" customWidth="1"/>
    <col min="15238" max="15239" width="9" style="1" hidden="1" customWidth="1"/>
    <col min="15240" max="15474" width="8.69140625" style="1"/>
    <col min="15475" max="15475" width="9" style="1" customWidth="1"/>
    <col min="15476" max="15476" width="12.69140625" style="1" customWidth="1"/>
    <col min="15477" max="15477" width="12.07421875" style="1" customWidth="1"/>
    <col min="15478" max="15478" width="6.4609375" style="1" customWidth="1"/>
    <col min="15479" max="15479" width="5.4609375" style="1" customWidth="1"/>
    <col min="15480" max="15480" width="9.3046875" style="1" customWidth="1"/>
    <col min="15481" max="15485" width="4.765625" style="1" customWidth="1"/>
    <col min="15486" max="15486" width="6.765625" style="1" customWidth="1"/>
    <col min="15487" max="15487" width="9.3046875" style="1" customWidth="1"/>
    <col min="15488" max="15488" width="9.4609375" style="1" customWidth="1"/>
    <col min="15489" max="15489" width="5.765625" style="1" customWidth="1"/>
    <col min="15490" max="15490" width="6.23046875" style="1" customWidth="1"/>
    <col min="15491" max="15491" width="9" style="1" customWidth="1"/>
    <col min="15492" max="15492" width="13.3046875" style="1" customWidth="1"/>
    <col min="15493" max="15493" width="9.765625" style="1" customWidth="1"/>
    <col min="15494" max="15495" width="9" style="1" hidden="1" customWidth="1"/>
    <col min="15496" max="15730" width="8.69140625" style="1"/>
    <col min="15731" max="15731" width="9" style="1" customWidth="1"/>
    <col min="15732" max="15732" width="12.69140625" style="1" customWidth="1"/>
    <col min="15733" max="15733" width="12.07421875" style="1" customWidth="1"/>
    <col min="15734" max="15734" width="6.4609375" style="1" customWidth="1"/>
    <col min="15735" max="15735" width="5.4609375" style="1" customWidth="1"/>
    <col min="15736" max="15736" width="9.3046875" style="1" customWidth="1"/>
    <col min="15737" max="15741" width="4.765625" style="1" customWidth="1"/>
    <col min="15742" max="15742" width="6.765625" style="1" customWidth="1"/>
    <col min="15743" max="15743" width="9.3046875" style="1" customWidth="1"/>
    <col min="15744" max="15744" width="9.4609375" style="1" customWidth="1"/>
    <col min="15745" max="15745" width="5.765625" style="1" customWidth="1"/>
    <col min="15746" max="15746" width="6.23046875" style="1" customWidth="1"/>
    <col min="15747" max="15747" width="9" style="1" customWidth="1"/>
    <col min="15748" max="15748" width="13.3046875" style="1" customWidth="1"/>
    <col min="15749" max="15749" width="9.765625" style="1" customWidth="1"/>
    <col min="15750" max="15751" width="9" style="1" hidden="1" customWidth="1"/>
    <col min="15752" max="15986" width="8.69140625" style="1"/>
    <col min="15987" max="15987" width="9" style="1" customWidth="1"/>
    <col min="15988" max="15988" width="12.69140625" style="1" customWidth="1"/>
    <col min="15989" max="15989" width="12.07421875" style="1" customWidth="1"/>
    <col min="15990" max="15990" width="6.4609375" style="1" customWidth="1"/>
    <col min="15991" max="15991" width="5.4609375" style="1" customWidth="1"/>
    <col min="15992" max="15992" width="9.3046875" style="1" customWidth="1"/>
    <col min="15993" max="15997" width="4.765625" style="1" customWidth="1"/>
    <col min="15998" max="15998" width="6.765625" style="1" customWidth="1"/>
    <col min="15999" max="15999" width="9.3046875" style="1" customWidth="1"/>
    <col min="16000" max="16000" width="9.4609375" style="1" customWidth="1"/>
    <col min="16001" max="16001" width="5.765625" style="1" customWidth="1"/>
    <col min="16002" max="16002" width="6.23046875" style="1" customWidth="1"/>
    <col min="16003" max="16003" width="9" style="1" customWidth="1"/>
    <col min="16004" max="16004" width="13.3046875" style="1" customWidth="1"/>
    <col min="16005" max="16005" width="9.765625" style="1" customWidth="1"/>
    <col min="16006" max="16007" width="9" style="1" hidden="1" customWidth="1"/>
    <col min="16008" max="16238" width="8.69140625" style="1"/>
    <col min="16239" max="16240" width="9.07421875" style="1" customWidth="1"/>
    <col min="16241" max="16254" width="8.69140625" style="1"/>
    <col min="16255" max="16383" width="9.07421875" style="1" customWidth="1"/>
    <col min="16384" max="16384" width="9.07421875" style="1"/>
  </cols>
  <sheetData>
    <row r="1" spans="1:21" ht="33.450000000000003" customHeight="1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ht="28.5" customHeight="1">
      <c r="A2" s="82" t="s">
        <v>61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21" s="2" customFormat="1" ht="18" customHeight="1">
      <c r="A3" s="8" t="s">
        <v>2</v>
      </c>
      <c r="B3" s="8"/>
      <c r="C3" s="8"/>
      <c r="D3" s="9"/>
      <c r="E3" s="8"/>
      <c r="F3" s="8"/>
      <c r="G3" s="8"/>
      <c r="H3" s="8"/>
      <c r="I3" s="8"/>
      <c r="J3" s="8"/>
      <c r="K3" s="10"/>
      <c r="L3" s="11"/>
      <c r="M3" s="12"/>
      <c r="N3" s="13"/>
      <c r="O3" s="14"/>
      <c r="P3" s="15"/>
      <c r="Q3" s="12" t="s">
        <v>3</v>
      </c>
      <c r="R3" s="16"/>
      <c r="S3" s="11"/>
      <c r="T3" s="15"/>
      <c r="U3" s="17"/>
    </row>
    <row r="4" spans="1:21" s="3" customFormat="1" ht="16.5" customHeight="1">
      <c r="A4" s="18" t="s">
        <v>4</v>
      </c>
      <c r="B4" s="18" t="s">
        <v>5</v>
      </c>
      <c r="C4" s="18" t="s">
        <v>6</v>
      </c>
      <c r="D4" s="18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 t="s">
        <v>62</v>
      </c>
      <c r="J4" s="19"/>
      <c r="K4" s="18" t="s">
        <v>12</v>
      </c>
      <c r="L4" s="18" t="s">
        <v>13</v>
      </c>
      <c r="M4" s="18" t="s">
        <v>14</v>
      </c>
      <c r="N4" s="18" t="s">
        <v>15</v>
      </c>
      <c r="O4" s="20" t="s">
        <v>16</v>
      </c>
      <c r="P4" s="20" t="s">
        <v>17</v>
      </c>
      <c r="Q4" s="18" t="s">
        <v>18</v>
      </c>
      <c r="R4" s="83" t="s">
        <v>19</v>
      </c>
      <c r="S4" s="83"/>
      <c r="T4" s="83"/>
      <c r="U4" s="18" t="s">
        <v>20</v>
      </c>
    </row>
    <row r="5" spans="1:21" s="4" customFormat="1" ht="19.100000000000001" customHeight="1">
      <c r="A5" s="76" t="s">
        <v>63</v>
      </c>
      <c r="B5" s="76" t="s">
        <v>64</v>
      </c>
      <c r="C5" s="76" t="s">
        <v>23</v>
      </c>
      <c r="D5" s="22" t="s">
        <v>24</v>
      </c>
      <c r="E5" s="23">
        <v>3</v>
      </c>
      <c r="F5" s="23">
        <v>3</v>
      </c>
      <c r="G5" s="23">
        <v>3</v>
      </c>
      <c r="H5" s="23">
        <v>3</v>
      </c>
      <c r="I5" s="23">
        <v>3</v>
      </c>
      <c r="J5" s="23"/>
      <c r="K5" s="76">
        <v>40</v>
      </c>
      <c r="L5" s="89" t="s">
        <v>65</v>
      </c>
      <c r="M5" s="76">
        <v>64</v>
      </c>
      <c r="N5" s="76">
        <f>M5*K5</f>
        <v>2560</v>
      </c>
      <c r="O5" s="73">
        <v>24</v>
      </c>
      <c r="P5" s="73">
        <v>25</v>
      </c>
      <c r="Q5" s="76">
        <f>P5*M5</f>
        <v>1600</v>
      </c>
      <c r="R5" s="68">
        <v>0.57999999999999996</v>
      </c>
      <c r="S5" s="68">
        <v>0.55000000000000004</v>
      </c>
      <c r="T5" s="68">
        <v>0.36</v>
      </c>
      <c r="U5" s="68">
        <f>R5*S5*T5*M5</f>
        <v>7.3497599999999998</v>
      </c>
    </row>
    <row r="6" spans="1:21" s="4" customFormat="1" ht="19.100000000000001" customHeight="1">
      <c r="A6" s="77"/>
      <c r="B6" s="77"/>
      <c r="C6" s="77"/>
      <c r="D6" s="22" t="s">
        <v>66</v>
      </c>
      <c r="E6" s="23">
        <v>1</v>
      </c>
      <c r="F6" s="23">
        <v>1</v>
      </c>
      <c r="G6" s="23">
        <v>1</v>
      </c>
      <c r="H6" s="23">
        <v>1</v>
      </c>
      <c r="I6" s="23">
        <v>1</v>
      </c>
      <c r="J6" s="23"/>
      <c r="K6" s="77"/>
      <c r="L6" s="90"/>
      <c r="M6" s="77"/>
      <c r="N6" s="77"/>
      <c r="O6" s="74"/>
      <c r="P6" s="74"/>
      <c r="Q6" s="77"/>
      <c r="R6" s="69"/>
      <c r="S6" s="69"/>
      <c r="T6" s="69"/>
      <c r="U6" s="69"/>
    </row>
    <row r="7" spans="1:21" s="4" customFormat="1" ht="19.100000000000001" customHeight="1">
      <c r="A7" s="77"/>
      <c r="B7" s="77"/>
      <c r="C7" s="77"/>
      <c r="D7" s="22" t="s">
        <v>67</v>
      </c>
      <c r="E7" s="23">
        <v>1</v>
      </c>
      <c r="F7" s="23">
        <v>1</v>
      </c>
      <c r="G7" s="23">
        <v>1</v>
      </c>
      <c r="H7" s="23">
        <v>1</v>
      </c>
      <c r="I7" s="23">
        <v>1</v>
      </c>
      <c r="J7" s="23"/>
      <c r="K7" s="77"/>
      <c r="L7" s="90"/>
      <c r="M7" s="77"/>
      <c r="N7" s="77"/>
      <c r="O7" s="74"/>
      <c r="P7" s="74"/>
      <c r="Q7" s="77"/>
      <c r="R7" s="69"/>
      <c r="S7" s="69"/>
      <c r="T7" s="69"/>
      <c r="U7" s="69"/>
    </row>
    <row r="8" spans="1:21" s="4" customFormat="1" ht="19.100000000000001" customHeight="1">
      <c r="A8" s="77"/>
      <c r="B8" s="77"/>
      <c r="C8" s="77"/>
      <c r="D8" s="22" t="s">
        <v>68</v>
      </c>
      <c r="E8" s="23">
        <v>1</v>
      </c>
      <c r="F8" s="23">
        <v>1</v>
      </c>
      <c r="G8" s="23">
        <v>1</v>
      </c>
      <c r="H8" s="23">
        <v>1</v>
      </c>
      <c r="I8" s="23">
        <v>1</v>
      </c>
      <c r="J8" s="23"/>
      <c r="K8" s="77"/>
      <c r="L8" s="90"/>
      <c r="M8" s="77"/>
      <c r="N8" s="77"/>
      <c r="O8" s="74"/>
      <c r="P8" s="74"/>
      <c r="Q8" s="77"/>
      <c r="R8" s="69"/>
      <c r="S8" s="69"/>
      <c r="T8" s="69"/>
      <c r="U8" s="69"/>
    </row>
    <row r="9" spans="1:21" s="4" customFormat="1" ht="19.100000000000001" customHeight="1">
      <c r="A9" s="77"/>
      <c r="B9" s="77"/>
      <c r="C9" s="77"/>
      <c r="D9" s="22" t="s">
        <v>69</v>
      </c>
      <c r="E9" s="23">
        <v>1</v>
      </c>
      <c r="F9" s="23">
        <v>1</v>
      </c>
      <c r="G9" s="23">
        <v>1</v>
      </c>
      <c r="H9" s="23">
        <v>1</v>
      </c>
      <c r="I9" s="23">
        <v>1</v>
      </c>
      <c r="J9" s="23"/>
      <c r="K9" s="77"/>
      <c r="L9" s="90"/>
      <c r="M9" s="77"/>
      <c r="N9" s="77"/>
      <c r="O9" s="74"/>
      <c r="P9" s="74"/>
      <c r="Q9" s="77"/>
      <c r="R9" s="69"/>
      <c r="S9" s="69"/>
      <c r="T9" s="69"/>
      <c r="U9" s="69"/>
    </row>
    <row r="10" spans="1:21" s="4" customFormat="1" ht="19.100000000000001" customHeight="1">
      <c r="A10" s="77"/>
      <c r="B10" s="77"/>
      <c r="C10" s="77"/>
      <c r="D10" s="22" t="s">
        <v>70</v>
      </c>
      <c r="E10" s="23">
        <v>1</v>
      </c>
      <c r="F10" s="23">
        <v>1</v>
      </c>
      <c r="G10" s="23">
        <v>1</v>
      </c>
      <c r="H10" s="23">
        <v>1</v>
      </c>
      <c r="I10" s="23">
        <v>1</v>
      </c>
      <c r="J10" s="23"/>
      <c r="K10" s="78"/>
      <c r="L10" s="91"/>
      <c r="M10" s="78"/>
      <c r="N10" s="78"/>
      <c r="O10" s="75"/>
      <c r="P10" s="75"/>
      <c r="Q10" s="78"/>
      <c r="R10" s="70"/>
      <c r="S10" s="70"/>
      <c r="T10" s="70"/>
      <c r="U10" s="70"/>
    </row>
    <row r="11" spans="1:21" s="4" customFormat="1" ht="19.100000000000001" customHeight="1">
      <c r="A11" s="77"/>
      <c r="B11" s="77"/>
      <c r="C11" s="77"/>
      <c r="D11" s="22" t="s">
        <v>24</v>
      </c>
      <c r="E11" s="23">
        <v>4</v>
      </c>
      <c r="F11" s="23">
        <v>4</v>
      </c>
      <c r="G11" s="23">
        <v>4</v>
      </c>
      <c r="H11" s="23">
        <v>4</v>
      </c>
      <c r="I11" s="23">
        <v>4</v>
      </c>
      <c r="J11" s="23"/>
      <c r="K11" s="76">
        <v>40</v>
      </c>
      <c r="L11" s="92" t="s">
        <v>71</v>
      </c>
      <c r="M11" s="79">
        <v>2</v>
      </c>
      <c r="N11" s="79">
        <f>M11*K11</f>
        <v>80</v>
      </c>
      <c r="O11" s="73">
        <v>24</v>
      </c>
      <c r="P11" s="73">
        <v>25</v>
      </c>
      <c r="Q11" s="79">
        <f>P11*M11</f>
        <v>50</v>
      </c>
      <c r="R11" s="68">
        <v>0.57999999999999996</v>
      </c>
      <c r="S11" s="68">
        <v>0.55000000000000004</v>
      </c>
      <c r="T11" s="68">
        <v>0.36</v>
      </c>
      <c r="U11" s="71">
        <f>R11*S11*T11*M11</f>
        <v>0.22968</v>
      </c>
    </row>
    <row r="12" spans="1:21" s="4" customFormat="1" ht="19.100000000000001" customHeight="1">
      <c r="A12" s="77"/>
      <c r="B12" s="77"/>
      <c r="C12" s="77"/>
      <c r="D12" s="22" t="s">
        <v>66</v>
      </c>
      <c r="E12" s="23" t="s">
        <v>72</v>
      </c>
      <c r="F12" s="23" t="s">
        <v>72</v>
      </c>
      <c r="G12" s="23" t="s">
        <v>72</v>
      </c>
      <c r="H12" s="23" t="s">
        <v>72</v>
      </c>
      <c r="I12" s="23" t="s">
        <v>72</v>
      </c>
      <c r="J12" s="23"/>
      <c r="K12" s="77"/>
      <c r="L12" s="93"/>
      <c r="M12" s="80"/>
      <c r="N12" s="80"/>
      <c r="O12" s="74"/>
      <c r="P12" s="74"/>
      <c r="Q12" s="80"/>
      <c r="R12" s="69"/>
      <c r="S12" s="69"/>
      <c r="T12" s="69"/>
      <c r="U12" s="72"/>
    </row>
    <row r="13" spans="1:21" s="4" customFormat="1" ht="19.100000000000001" customHeight="1">
      <c r="A13" s="77"/>
      <c r="B13" s="77"/>
      <c r="C13" s="77"/>
      <c r="D13" s="22" t="s">
        <v>67</v>
      </c>
      <c r="E13" s="23">
        <v>1</v>
      </c>
      <c r="F13" s="23">
        <v>1</v>
      </c>
      <c r="G13" s="23">
        <v>1</v>
      </c>
      <c r="H13" s="23">
        <v>1</v>
      </c>
      <c r="I13" s="23">
        <v>1</v>
      </c>
      <c r="J13" s="23"/>
      <c r="K13" s="77"/>
      <c r="L13" s="93"/>
      <c r="M13" s="80"/>
      <c r="N13" s="80"/>
      <c r="O13" s="74"/>
      <c r="P13" s="74"/>
      <c r="Q13" s="80"/>
      <c r="R13" s="69"/>
      <c r="S13" s="69"/>
      <c r="T13" s="69"/>
      <c r="U13" s="72"/>
    </row>
    <row r="14" spans="1:21" s="4" customFormat="1" ht="19.100000000000001" customHeight="1">
      <c r="A14" s="77"/>
      <c r="B14" s="77"/>
      <c r="C14" s="77"/>
      <c r="D14" s="22" t="s">
        <v>68</v>
      </c>
      <c r="E14" s="23">
        <v>1</v>
      </c>
      <c r="F14" s="23">
        <v>1</v>
      </c>
      <c r="G14" s="23">
        <v>1</v>
      </c>
      <c r="H14" s="23">
        <v>1</v>
      </c>
      <c r="I14" s="23">
        <v>1</v>
      </c>
      <c r="J14" s="23"/>
      <c r="K14" s="77"/>
      <c r="L14" s="93"/>
      <c r="M14" s="80"/>
      <c r="N14" s="80"/>
      <c r="O14" s="74"/>
      <c r="P14" s="74"/>
      <c r="Q14" s="80"/>
      <c r="R14" s="69"/>
      <c r="S14" s="69"/>
      <c r="T14" s="69"/>
      <c r="U14" s="72"/>
    </row>
    <row r="15" spans="1:21" s="4" customFormat="1" ht="19.100000000000001" customHeight="1">
      <c r="A15" s="77"/>
      <c r="B15" s="77"/>
      <c r="C15" s="77"/>
      <c r="D15" s="22" t="s">
        <v>69</v>
      </c>
      <c r="E15" s="23">
        <v>1</v>
      </c>
      <c r="F15" s="23">
        <v>1</v>
      </c>
      <c r="G15" s="23">
        <v>1</v>
      </c>
      <c r="H15" s="23">
        <v>1</v>
      </c>
      <c r="I15" s="23">
        <v>1</v>
      </c>
      <c r="J15" s="23"/>
      <c r="K15" s="77"/>
      <c r="L15" s="93"/>
      <c r="M15" s="80"/>
      <c r="N15" s="80"/>
      <c r="O15" s="74"/>
      <c r="P15" s="74"/>
      <c r="Q15" s="80"/>
      <c r="R15" s="69"/>
      <c r="S15" s="69"/>
      <c r="T15" s="69"/>
      <c r="U15" s="72"/>
    </row>
    <row r="16" spans="1:21" s="4" customFormat="1" ht="19.100000000000001" customHeight="1">
      <c r="A16" s="77"/>
      <c r="B16" s="77"/>
      <c r="C16" s="77"/>
      <c r="D16" s="22" t="s">
        <v>70</v>
      </c>
      <c r="E16" s="23">
        <v>1</v>
      </c>
      <c r="F16" s="23">
        <v>1</v>
      </c>
      <c r="G16" s="23">
        <v>1</v>
      </c>
      <c r="H16" s="23">
        <v>1</v>
      </c>
      <c r="I16" s="23">
        <v>1</v>
      </c>
      <c r="J16" s="23"/>
      <c r="K16" s="78"/>
      <c r="L16" s="93"/>
      <c r="M16" s="80"/>
      <c r="N16" s="80"/>
      <c r="O16" s="75"/>
      <c r="P16" s="75"/>
      <c r="Q16" s="80"/>
      <c r="R16" s="70"/>
      <c r="S16" s="70"/>
      <c r="T16" s="70"/>
      <c r="U16" s="72"/>
    </row>
    <row r="17" spans="1:21" s="4" customFormat="1" ht="19.100000000000001" customHeight="1">
      <c r="A17" s="77"/>
      <c r="B17" s="77"/>
      <c r="C17" s="77"/>
      <c r="D17" s="22" t="s">
        <v>24</v>
      </c>
      <c r="E17" s="23">
        <v>6</v>
      </c>
      <c r="F17" s="23">
        <v>6</v>
      </c>
      <c r="G17" s="23">
        <v>6</v>
      </c>
      <c r="H17" s="23">
        <v>6</v>
      </c>
      <c r="I17" s="23">
        <v>6</v>
      </c>
      <c r="J17" s="23"/>
      <c r="K17" s="76">
        <v>40</v>
      </c>
      <c r="L17" s="92" t="s">
        <v>73</v>
      </c>
      <c r="M17" s="79">
        <v>1</v>
      </c>
      <c r="N17" s="79">
        <f>M17*K17</f>
        <v>40</v>
      </c>
      <c r="O17" s="73">
        <v>24</v>
      </c>
      <c r="P17" s="73">
        <v>25</v>
      </c>
      <c r="Q17" s="79">
        <f>P17*M17</f>
        <v>25</v>
      </c>
      <c r="R17" s="68">
        <v>0.57999999999999996</v>
      </c>
      <c r="S17" s="68">
        <v>0.55000000000000004</v>
      </c>
      <c r="T17" s="68">
        <v>0.36</v>
      </c>
      <c r="U17" s="71">
        <f>R17*S17*T17*M17</f>
        <v>0.11484</v>
      </c>
    </row>
    <row r="18" spans="1:21" s="4" customFormat="1" ht="19.100000000000001" customHeight="1">
      <c r="A18" s="77"/>
      <c r="B18" s="77"/>
      <c r="C18" s="77"/>
      <c r="D18" s="22" t="s">
        <v>66</v>
      </c>
      <c r="E18" s="23" t="s">
        <v>72</v>
      </c>
      <c r="F18" s="23" t="s">
        <v>72</v>
      </c>
      <c r="G18" s="23" t="s">
        <v>72</v>
      </c>
      <c r="H18" s="23" t="s">
        <v>72</v>
      </c>
      <c r="I18" s="23" t="s">
        <v>72</v>
      </c>
      <c r="J18" s="23"/>
      <c r="K18" s="77"/>
      <c r="L18" s="93"/>
      <c r="M18" s="80"/>
      <c r="N18" s="80"/>
      <c r="O18" s="74"/>
      <c r="P18" s="74"/>
      <c r="Q18" s="80"/>
      <c r="R18" s="69"/>
      <c r="S18" s="69"/>
      <c r="T18" s="69"/>
      <c r="U18" s="72"/>
    </row>
    <row r="19" spans="1:21" s="4" customFormat="1" ht="19.100000000000001" customHeight="1">
      <c r="A19" s="77"/>
      <c r="B19" s="77"/>
      <c r="C19" s="77"/>
      <c r="D19" s="22" t="s">
        <v>67</v>
      </c>
      <c r="E19" s="23" t="s">
        <v>72</v>
      </c>
      <c r="F19" s="23" t="s">
        <v>72</v>
      </c>
      <c r="G19" s="23" t="s">
        <v>72</v>
      </c>
      <c r="H19" s="23" t="s">
        <v>72</v>
      </c>
      <c r="I19" s="23" t="s">
        <v>72</v>
      </c>
      <c r="J19" s="23"/>
      <c r="K19" s="77"/>
      <c r="L19" s="93"/>
      <c r="M19" s="80"/>
      <c r="N19" s="80"/>
      <c r="O19" s="74"/>
      <c r="P19" s="74"/>
      <c r="Q19" s="80"/>
      <c r="R19" s="69"/>
      <c r="S19" s="69"/>
      <c r="T19" s="69"/>
      <c r="U19" s="72"/>
    </row>
    <row r="20" spans="1:21" s="4" customFormat="1" ht="19.100000000000001" customHeight="1">
      <c r="A20" s="77"/>
      <c r="B20" s="77"/>
      <c r="C20" s="77"/>
      <c r="D20" s="22" t="s">
        <v>68</v>
      </c>
      <c r="E20" s="23" t="s">
        <v>72</v>
      </c>
      <c r="F20" s="23" t="s">
        <v>72</v>
      </c>
      <c r="G20" s="23" t="s">
        <v>72</v>
      </c>
      <c r="H20" s="23" t="s">
        <v>72</v>
      </c>
      <c r="I20" s="23" t="s">
        <v>72</v>
      </c>
      <c r="J20" s="23"/>
      <c r="K20" s="77"/>
      <c r="L20" s="93"/>
      <c r="M20" s="80"/>
      <c r="N20" s="80"/>
      <c r="O20" s="74"/>
      <c r="P20" s="74"/>
      <c r="Q20" s="80"/>
      <c r="R20" s="69"/>
      <c r="S20" s="69"/>
      <c r="T20" s="69"/>
      <c r="U20" s="72"/>
    </row>
    <row r="21" spans="1:21" s="4" customFormat="1" ht="19.100000000000001" customHeight="1">
      <c r="A21" s="77"/>
      <c r="B21" s="77"/>
      <c r="C21" s="77"/>
      <c r="D21" s="22" t="s">
        <v>69</v>
      </c>
      <c r="E21" s="23" t="s">
        <v>72</v>
      </c>
      <c r="F21" s="23" t="s">
        <v>72</v>
      </c>
      <c r="G21" s="23" t="s">
        <v>72</v>
      </c>
      <c r="H21" s="23" t="s">
        <v>72</v>
      </c>
      <c r="I21" s="23" t="s">
        <v>72</v>
      </c>
      <c r="J21" s="23"/>
      <c r="K21" s="77"/>
      <c r="L21" s="93"/>
      <c r="M21" s="80"/>
      <c r="N21" s="80"/>
      <c r="O21" s="74"/>
      <c r="P21" s="74"/>
      <c r="Q21" s="80"/>
      <c r="R21" s="69"/>
      <c r="S21" s="69"/>
      <c r="T21" s="69"/>
      <c r="U21" s="72"/>
    </row>
    <row r="22" spans="1:21" s="4" customFormat="1" ht="19.100000000000001" customHeight="1">
      <c r="A22" s="77"/>
      <c r="B22" s="77"/>
      <c r="C22" s="77"/>
      <c r="D22" s="22" t="s">
        <v>70</v>
      </c>
      <c r="E22" s="23">
        <v>2</v>
      </c>
      <c r="F22" s="23">
        <v>2</v>
      </c>
      <c r="G22" s="23">
        <v>2</v>
      </c>
      <c r="H22" s="23">
        <v>2</v>
      </c>
      <c r="I22" s="23">
        <v>2</v>
      </c>
      <c r="J22" s="23"/>
      <c r="K22" s="78"/>
      <c r="L22" s="93"/>
      <c r="M22" s="80"/>
      <c r="N22" s="80"/>
      <c r="O22" s="75"/>
      <c r="P22" s="75"/>
      <c r="Q22" s="80"/>
      <c r="R22" s="70"/>
      <c r="S22" s="70"/>
      <c r="T22" s="70"/>
      <c r="U22" s="72"/>
    </row>
    <row r="23" spans="1:21" s="5" customFormat="1" ht="16.100000000000001" customHeight="1">
      <c r="A23" s="25" t="s">
        <v>40</v>
      </c>
      <c r="B23" s="84"/>
      <c r="C23" s="85"/>
      <c r="D23" s="85"/>
      <c r="E23" s="85"/>
      <c r="F23" s="85"/>
      <c r="G23" s="85"/>
      <c r="H23" s="85"/>
      <c r="I23" s="85"/>
      <c r="J23" s="85"/>
      <c r="K23" s="85"/>
      <c r="L23" s="86"/>
      <c r="M23" s="26">
        <f t="shared" ref="M23:Q23" si="0">SUM(M5:M22)</f>
        <v>67</v>
      </c>
      <c r="N23" s="26">
        <f t="shared" si="0"/>
        <v>2680</v>
      </c>
      <c r="O23" s="87"/>
      <c r="P23" s="88"/>
      <c r="Q23" s="26">
        <f t="shared" si="0"/>
        <v>1675</v>
      </c>
      <c r="R23" s="27"/>
      <c r="S23" s="28"/>
      <c r="T23" s="29"/>
      <c r="U23" s="26">
        <f>SUM(U5:U22)</f>
        <v>7.69428</v>
      </c>
    </row>
    <row r="24" spans="1:21">
      <c r="B24" s="30"/>
    </row>
    <row r="25" spans="1:21" ht="18.45">
      <c r="D25" s="31"/>
    </row>
    <row r="26" spans="1:21">
      <c r="D26" s="32"/>
    </row>
  </sheetData>
  <mergeCells count="41">
    <mergeCell ref="A1:U1"/>
    <mergeCell ref="A2:U2"/>
    <mergeCell ref="R4:T4"/>
    <mergeCell ref="B23:L23"/>
    <mergeCell ref="O23:P23"/>
    <mergeCell ref="A5:A22"/>
    <mergeCell ref="B5:B22"/>
    <mergeCell ref="C5:C22"/>
    <mergeCell ref="K5:K10"/>
    <mergeCell ref="K11:K16"/>
    <mergeCell ref="K17:K22"/>
    <mergeCell ref="L5:L10"/>
    <mergeCell ref="L11:L16"/>
    <mergeCell ref="L17:L22"/>
    <mergeCell ref="M5:M10"/>
    <mergeCell ref="M11:M16"/>
    <mergeCell ref="M17:M22"/>
    <mergeCell ref="N5:N10"/>
    <mergeCell ref="N11:N16"/>
    <mergeCell ref="N17:N22"/>
    <mergeCell ref="O5:O10"/>
    <mergeCell ref="O11:O16"/>
    <mergeCell ref="O17:O22"/>
    <mergeCell ref="P5:P10"/>
    <mergeCell ref="P11:P16"/>
    <mergeCell ref="P17:P22"/>
    <mergeCell ref="Q5:Q10"/>
    <mergeCell ref="Q11:Q16"/>
    <mergeCell ref="Q17:Q22"/>
    <mergeCell ref="R5:R10"/>
    <mergeCell ref="R11:R16"/>
    <mergeCell ref="R17:R22"/>
    <mergeCell ref="S5:S10"/>
    <mergeCell ref="S11:S16"/>
    <mergeCell ref="S17:S22"/>
    <mergeCell ref="T5:T10"/>
    <mergeCell ref="T11:T16"/>
    <mergeCell ref="T17:T22"/>
    <mergeCell ref="U5:U10"/>
    <mergeCell ref="U11:U16"/>
    <mergeCell ref="U17:U22"/>
  </mergeCells>
  <pageMargins left="0.31458333333333299" right="0.23611111111111099" top="0.31458333333333299" bottom="0.31458333333333299" header="0.39305555555555599" footer="0.31458333333333299"/>
  <pageSetup paperSize="9" scale="7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06MSD</vt:lpstr>
      <vt:lpstr>07MSD</vt:lpstr>
      <vt:lpstr>11UC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Hunab Cuenta</cp:lastModifiedBy>
  <cp:lastPrinted>2024-07-16T07:43:00Z</cp:lastPrinted>
  <dcterms:created xsi:type="dcterms:W3CDTF">2015-06-05T18:19:00Z</dcterms:created>
  <dcterms:modified xsi:type="dcterms:W3CDTF">2026-10-06T19:25:45Z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2E9752B49E534200AFCA1CD576F06BA2_12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