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riel\Downloads\providers\"/>
    </mc:Choice>
  </mc:AlternateContent>
  <xr:revisionPtr revIDLastSave="0" documentId="13_ncr:1_{BA32EC64-4465-4B78-80D3-38E380FA86FA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GY9pBLL+L8Go57xAPWwQsekFjlz0/pIxP+Ifiz6bug="/>
    </ext>
  </extLst>
</workbook>
</file>

<file path=xl/calcChain.xml><?xml version="1.0" encoding="utf-8"?>
<calcChain xmlns="http://schemas.openxmlformats.org/spreadsheetml/2006/main">
  <c r="D188" i="1" l="1"/>
  <c r="R182" i="1"/>
  <c r="Q182" i="1"/>
  <c r="P182" i="1"/>
  <c r="K182" i="1"/>
  <c r="L182" i="1" s="1"/>
  <c r="T182" i="1" s="1"/>
  <c r="R176" i="1"/>
  <c r="Q176" i="1"/>
  <c r="P176" i="1"/>
  <c r="K176" i="1"/>
  <c r="L176" i="1" s="1"/>
  <c r="T176" i="1" s="1"/>
  <c r="R174" i="1"/>
  <c r="Q174" i="1"/>
  <c r="P174" i="1"/>
  <c r="K174" i="1"/>
  <c r="L174" i="1" s="1"/>
  <c r="T174" i="1" s="1"/>
  <c r="R171" i="1"/>
  <c r="Q171" i="1"/>
  <c r="P171" i="1"/>
  <c r="K171" i="1"/>
  <c r="L171" i="1" s="1"/>
  <c r="T171" i="1" s="1"/>
  <c r="R167" i="1"/>
  <c r="Q167" i="1"/>
  <c r="P167" i="1"/>
  <c r="K167" i="1"/>
  <c r="L167" i="1" s="1"/>
  <c r="T167" i="1" s="1"/>
  <c r="R163" i="1"/>
  <c r="Q163" i="1"/>
  <c r="P163" i="1"/>
  <c r="K163" i="1"/>
  <c r="L163" i="1" s="1"/>
  <c r="T163" i="1" s="1"/>
  <c r="R160" i="1"/>
  <c r="Q160" i="1"/>
  <c r="P160" i="1"/>
  <c r="K160" i="1"/>
  <c r="L160" i="1" s="1"/>
  <c r="R157" i="1"/>
  <c r="Q157" i="1"/>
  <c r="P157" i="1"/>
  <c r="K157" i="1"/>
  <c r="L157" i="1" s="1"/>
  <c r="T157" i="1" s="1"/>
  <c r="R152" i="1"/>
  <c r="Q152" i="1"/>
  <c r="P152" i="1"/>
  <c r="K152" i="1"/>
  <c r="L152" i="1" s="1"/>
  <c r="T147" i="1"/>
  <c r="R147" i="1"/>
  <c r="Q147" i="1"/>
  <c r="P147" i="1"/>
  <c r="K147" i="1"/>
  <c r="L147" i="1" s="1"/>
  <c r="T143" i="1"/>
  <c r="R143" i="1"/>
  <c r="Q143" i="1"/>
  <c r="P143" i="1"/>
  <c r="K143" i="1"/>
  <c r="L143" i="1" s="1"/>
  <c r="T139" i="1"/>
  <c r="R139" i="1"/>
  <c r="Q139" i="1"/>
  <c r="P139" i="1"/>
  <c r="K139" i="1"/>
  <c r="L139" i="1" s="1"/>
  <c r="R135" i="1"/>
  <c r="Q135" i="1"/>
  <c r="P135" i="1"/>
  <c r="K135" i="1"/>
  <c r="L135" i="1" s="1"/>
  <c r="T131" i="1"/>
  <c r="R131" i="1"/>
  <c r="Q131" i="1"/>
  <c r="P131" i="1"/>
  <c r="K131" i="1"/>
  <c r="L131" i="1" s="1"/>
  <c r="R128" i="1"/>
  <c r="Q128" i="1"/>
  <c r="P128" i="1"/>
  <c r="L128" i="1"/>
  <c r="K128" i="1"/>
  <c r="T125" i="1"/>
  <c r="R125" i="1"/>
  <c r="Q125" i="1"/>
  <c r="P125" i="1"/>
  <c r="K125" i="1"/>
  <c r="L125" i="1" s="1"/>
  <c r="R121" i="1"/>
  <c r="Q121" i="1"/>
  <c r="P121" i="1"/>
  <c r="L121" i="1"/>
  <c r="K121" i="1"/>
  <c r="T117" i="1"/>
  <c r="R117" i="1"/>
  <c r="Q117" i="1"/>
  <c r="P117" i="1"/>
  <c r="K117" i="1"/>
  <c r="L117" i="1" s="1"/>
  <c r="R113" i="1"/>
  <c r="Q113" i="1"/>
  <c r="P113" i="1"/>
  <c r="K113" i="1"/>
  <c r="L113" i="1" s="1"/>
  <c r="T113" i="1" s="1"/>
  <c r="R109" i="1"/>
  <c r="Q109" i="1"/>
  <c r="P109" i="1"/>
  <c r="K109" i="1"/>
  <c r="L109" i="1" s="1"/>
  <c r="T105" i="1"/>
  <c r="R105" i="1"/>
  <c r="Q105" i="1"/>
  <c r="P105" i="1"/>
  <c r="K105" i="1"/>
  <c r="L105" i="1" s="1"/>
  <c r="R101" i="1"/>
  <c r="Q101" i="1"/>
  <c r="P101" i="1"/>
  <c r="K101" i="1"/>
  <c r="L101" i="1" s="1"/>
  <c r="T101" i="1" s="1"/>
  <c r="R97" i="1"/>
  <c r="Q97" i="1"/>
  <c r="P97" i="1"/>
  <c r="K97" i="1"/>
  <c r="L97" i="1" s="1"/>
  <c r="T93" i="1"/>
  <c r="R93" i="1"/>
  <c r="Q93" i="1"/>
  <c r="P93" i="1"/>
  <c r="K93" i="1"/>
  <c r="L93" i="1" s="1"/>
  <c r="R89" i="1"/>
  <c r="Q89" i="1"/>
  <c r="P89" i="1"/>
  <c r="K89" i="1"/>
  <c r="L89" i="1" s="1"/>
  <c r="T85" i="1"/>
  <c r="R85" i="1"/>
  <c r="Q85" i="1"/>
  <c r="P85" i="1"/>
  <c r="K85" i="1"/>
  <c r="L85" i="1" s="1"/>
  <c r="R79" i="1"/>
  <c r="Q79" i="1"/>
  <c r="P79" i="1"/>
  <c r="K79" i="1"/>
  <c r="L79" i="1" s="1"/>
  <c r="R73" i="1"/>
  <c r="Q73" i="1"/>
  <c r="P73" i="1"/>
  <c r="K73" i="1"/>
  <c r="L73" i="1" s="1"/>
  <c r="T73" i="1" s="1"/>
  <c r="R69" i="1"/>
  <c r="Q69" i="1"/>
  <c r="P69" i="1"/>
  <c r="K69" i="1"/>
  <c r="L69" i="1" s="1"/>
  <c r="T69" i="1" s="1"/>
  <c r="R63" i="1"/>
  <c r="Q63" i="1"/>
  <c r="P63" i="1"/>
  <c r="L63" i="1"/>
  <c r="T63" i="1" s="1"/>
  <c r="R59" i="1"/>
  <c r="Q59" i="1"/>
  <c r="K59" i="1"/>
  <c r="R55" i="1"/>
  <c r="Q55" i="1"/>
  <c r="K55" i="1"/>
  <c r="R50" i="1"/>
  <c r="Q50" i="1"/>
  <c r="K50" i="1"/>
  <c r="R44" i="1"/>
  <c r="Q44" i="1"/>
  <c r="K44" i="1"/>
  <c r="R38" i="1"/>
  <c r="Q38" i="1"/>
  <c r="K38" i="1"/>
  <c r="R34" i="1"/>
  <c r="K34" i="1"/>
  <c r="R29" i="1"/>
  <c r="Q29" i="1"/>
  <c r="K29" i="1"/>
  <c r="K28" i="1"/>
  <c r="K27" i="1"/>
  <c r="K26" i="1"/>
  <c r="K25" i="1"/>
  <c r="R24" i="1"/>
  <c r="Q24" i="1"/>
  <c r="P24" i="1"/>
  <c r="K24" i="1"/>
  <c r="R21" i="1"/>
  <c r="Q21" i="1"/>
  <c r="P21" i="1"/>
  <c r="K21" i="1"/>
  <c r="L21" i="1" s="1"/>
  <c r="T21" i="1" s="1"/>
  <c r="R20" i="1"/>
  <c r="Q20" i="1"/>
  <c r="P20" i="1"/>
  <c r="K20" i="1"/>
  <c r="R19" i="1"/>
  <c r="Q19" i="1"/>
  <c r="P19" i="1"/>
  <c r="K19" i="1"/>
  <c r="L19" i="1" s="1"/>
  <c r="T19" i="1" s="1"/>
  <c r="Q18" i="1"/>
  <c r="P18" i="1"/>
  <c r="K18" i="1"/>
  <c r="Q17" i="1"/>
  <c r="P17" i="1"/>
  <c r="K17" i="1"/>
  <c r="Q16" i="1"/>
  <c r="P16" i="1"/>
  <c r="K16" i="1"/>
  <c r="Q15" i="1"/>
  <c r="P15" i="1"/>
  <c r="K15" i="1"/>
  <c r="Q14" i="1"/>
  <c r="P14" i="1"/>
  <c r="K14" i="1"/>
  <c r="R13" i="1"/>
  <c r="Q13" i="1"/>
  <c r="P13" i="1"/>
  <c r="K13" i="1"/>
  <c r="L13" i="1" s="1"/>
  <c r="T13" i="1" s="1"/>
  <c r="R10" i="1"/>
  <c r="Q10" i="1"/>
  <c r="P10" i="1"/>
  <c r="K10" i="1"/>
  <c r="L10" i="1" s="1"/>
  <c r="T7" i="1"/>
  <c r="R7" i="1"/>
  <c r="Q7" i="1"/>
  <c r="P7" i="1"/>
  <c r="K7" i="1"/>
  <c r="L7" i="1" s="1"/>
  <c r="R4" i="1"/>
  <c r="R188" i="1" s="1"/>
  <c r="Q4" i="1"/>
  <c r="P4" i="1"/>
  <c r="K4" i="1"/>
  <c r="L4" i="1" s="1"/>
  <c r="L24" i="1" l="1"/>
  <c r="T24" i="1" s="1"/>
  <c r="L38" i="1"/>
  <c r="T38" i="1" s="1"/>
  <c r="M38" i="1"/>
  <c r="P38" i="1" s="1"/>
  <c r="M29" i="1"/>
  <c r="P29" i="1" s="1"/>
  <c r="L29" i="1"/>
  <c r="T29" i="1" s="1"/>
  <c r="M59" i="1"/>
  <c r="P59" i="1" s="1"/>
  <c r="L59" i="1"/>
  <c r="T59" i="1" s="1"/>
  <c r="M55" i="1"/>
  <c r="P55" i="1" s="1"/>
  <c r="L55" i="1"/>
  <c r="T55" i="1" s="1"/>
  <c r="M50" i="1"/>
  <c r="P50" i="1" s="1"/>
  <c r="L50" i="1"/>
  <c r="T50" i="1" s="1"/>
  <c r="L44" i="1"/>
  <c r="T44" i="1" s="1"/>
  <c r="M44" i="1"/>
  <c r="P44" i="1" s="1"/>
  <c r="M34" i="1"/>
  <c r="L34" i="1"/>
  <c r="T4" i="1"/>
  <c r="T188" i="1" l="1"/>
  <c r="N34" i="1"/>
  <c r="Q34" i="1" s="1"/>
  <c r="Q188" i="1" s="1"/>
  <c r="P34" i="1"/>
  <c r="P188" i="1" s="1"/>
  <c r="T34" i="1"/>
  <c r="L188" i="1"/>
</calcChain>
</file>

<file path=xl/sharedStrings.xml><?xml version="1.0" encoding="utf-8"?>
<sst xmlns="http://schemas.openxmlformats.org/spreadsheetml/2006/main" count="395" uniqueCount="171">
  <si>
    <t>Packing List</t>
  </si>
  <si>
    <t>Mark:IDOL NAVY</t>
  </si>
  <si>
    <t>Date:2026-03-20</t>
  </si>
  <si>
    <t>Style No.</t>
  </si>
  <si>
    <t>BAG NO.</t>
  </si>
  <si>
    <t>BAGS</t>
  </si>
  <si>
    <t>Color</t>
  </si>
  <si>
    <t>CH</t>
  </si>
  <si>
    <t>M</t>
  </si>
  <si>
    <t>G</t>
  </si>
  <si>
    <t>XG</t>
  </si>
  <si>
    <t>2XG</t>
  </si>
  <si>
    <t>PCS/CTN PCS/BAG</t>
  </si>
  <si>
    <t>Quantity/PC</t>
  </si>
  <si>
    <t>Net Weight/CTN  Net Weight/BAG kgs</t>
  </si>
  <si>
    <t>Gross Weight/CTN Gross Weight/BAG kgs</t>
  </si>
  <si>
    <t>CTN/BAG Size/cm</t>
  </si>
  <si>
    <t>Total N.W. kgs</t>
  </si>
  <si>
    <t>Total G.W. kgs</t>
  </si>
  <si>
    <t>CBM</t>
  </si>
  <si>
    <t xml:space="preserve">PRECIO </t>
  </si>
  <si>
    <t>TOTAL</t>
  </si>
  <si>
    <t>COMPOSICION</t>
  </si>
  <si>
    <t>DESCRIPCION</t>
  </si>
  <si>
    <t>MARCA</t>
  </si>
  <si>
    <t>FK25/18HCR</t>
  </si>
  <si>
    <t>1--20</t>
  </si>
  <si>
    <t>BLACK</t>
  </si>
  <si>
    <t>52*62*70</t>
  </si>
  <si>
    <t>100% poliester</t>
  </si>
  <si>
    <t xml:space="preserve">CHAMARRA REVERSIBLE PARA CABALLERO </t>
  </si>
  <si>
    <t>IDOL NAVY</t>
  </si>
  <si>
    <t>GREY</t>
  </si>
  <si>
    <t>WHITE</t>
  </si>
  <si>
    <t>1--12</t>
  </si>
  <si>
    <t>100%poliester</t>
  </si>
  <si>
    <t>FK25/06HC</t>
  </si>
  <si>
    <t>1--4</t>
  </si>
  <si>
    <t>BLACK/WHITE</t>
  </si>
  <si>
    <t xml:space="preserve">CHAMARRA 3 EN 1 PARA CABALLERO </t>
  </si>
  <si>
    <t>6--7</t>
  </si>
  <si>
    <t>ROJO</t>
  </si>
  <si>
    <t>8--9</t>
  </si>
  <si>
    <t xml:space="preserve">SKY BLUE </t>
  </si>
  <si>
    <t>10--11</t>
  </si>
  <si>
    <t xml:space="preserve">IVORY WHITE </t>
  </si>
  <si>
    <t>12--13</t>
  </si>
  <si>
    <t xml:space="preserve">DARK BLUE </t>
  </si>
  <si>
    <t>FK25/17HCR</t>
  </si>
  <si>
    <t>1--14</t>
  </si>
  <si>
    <t>57*38*70</t>
  </si>
  <si>
    <t>1--50</t>
  </si>
  <si>
    <t>RED</t>
  </si>
  <si>
    <t xml:space="preserve">MILITARY </t>
  </si>
  <si>
    <t>FK25/09MC</t>
  </si>
  <si>
    <t>1--8</t>
  </si>
  <si>
    <t>56*37*92</t>
  </si>
  <si>
    <t>CHAMARRA 3 EN 1 PARA DAMA</t>
  </si>
  <si>
    <t>9--11</t>
  </si>
  <si>
    <t>12--14</t>
  </si>
  <si>
    <t>IVORY/WHITE</t>
  </si>
  <si>
    <t>15--17</t>
  </si>
  <si>
    <t>PINK</t>
  </si>
  <si>
    <t>PURRURA</t>
  </si>
  <si>
    <t>FK25/10MST</t>
  </si>
  <si>
    <t>1--3</t>
  </si>
  <si>
    <t>55*36*92</t>
  </si>
  <si>
    <t>42% ACRILICO,28%POLIAMIDA,30%POLIESTER</t>
  </si>
  <si>
    <t>SET DAMA</t>
  </si>
  <si>
    <t>COFFEE</t>
  </si>
  <si>
    <t>BLUE</t>
  </si>
  <si>
    <t>BEIGE</t>
  </si>
  <si>
    <t>FK25/11MST</t>
  </si>
  <si>
    <t>1--7</t>
  </si>
  <si>
    <t>57*38*50</t>
  </si>
  <si>
    <t>95%POLIESTER,5% SPANDEX</t>
  </si>
  <si>
    <t>GREEN</t>
  </si>
  <si>
    <t>CAMEL</t>
  </si>
  <si>
    <t>FK25/12MST</t>
  </si>
  <si>
    <t>57*38*76</t>
  </si>
  <si>
    <t>50%SPANDEX,22%POLIAMIDA,28%POLIESTER</t>
  </si>
  <si>
    <t>LT PURPLE</t>
  </si>
  <si>
    <t>OFF WHITE</t>
  </si>
  <si>
    <t>MOCHA</t>
  </si>
  <si>
    <t>LT GREEN</t>
  </si>
  <si>
    <t>FK25/13MST</t>
  </si>
  <si>
    <t>1--5</t>
  </si>
  <si>
    <t>42% ACRILICO,30%POLIAMIDA,28%SPANDEX</t>
  </si>
  <si>
    <t>CAMEL BROWN</t>
  </si>
  <si>
    <t>ARMY GREEN</t>
  </si>
  <si>
    <t>FK25/14MST</t>
  </si>
  <si>
    <t>57*38*86</t>
  </si>
  <si>
    <t>55%POLIESTER,30%VISCOSA,15%SPANDEX</t>
  </si>
  <si>
    <t>FK25/15MST</t>
  </si>
  <si>
    <t>BEIGE/BLACK</t>
  </si>
  <si>
    <t>CAMEL/WHITE</t>
  </si>
  <si>
    <t>GREY/WHITE</t>
  </si>
  <si>
    <t>FK25/16MST</t>
  </si>
  <si>
    <t>FK25/07MC</t>
  </si>
  <si>
    <t>1--67</t>
  </si>
  <si>
    <t xml:space="preserve">NEGRO </t>
  </si>
  <si>
    <t>57*38*38</t>
  </si>
  <si>
    <t>ROMPEVIENTOS PARA DAMA</t>
  </si>
  <si>
    <t>VERDE</t>
  </si>
  <si>
    <t xml:space="preserve">ROJO </t>
  </si>
  <si>
    <t>CAQUI</t>
  </si>
  <si>
    <t xml:space="preserve">PURPURA </t>
  </si>
  <si>
    <t>ROSA</t>
  </si>
  <si>
    <t>1--10</t>
  </si>
  <si>
    <t>80*40*40</t>
  </si>
  <si>
    <t xml:space="preserve">CHAMARRA PARA CABALLERO </t>
  </si>
  <si>
    <t>OLIVE</t>
  </si>
  <si>
    <t>NAVY</t>
  </si>
  <si>
    <t>KHAKI</t>
  </si>
  <si>
    <t>1--21</t>
  </si>
  <si>
    <t>NEGRO</t>
  </si>
  <si>
    <t>PURPURA</t>
  </si>
  <si>
    <t>FK25/08HC</t>
  </si>
  <si>
    <t>1--18</t>
  </si>
  <si>
    <t>90*50*40</t>
  </si>
  <si>
    <t>GRIS</t>
  </si>
  <si>
    <t xml:space="preserve">PEACOCK BLUE  </t>
  </si>
  <si>
    <t>FK26/01MW</t>
  </si>
  <si>
    <t>1--9</t>
  </si>
  <si>
    <t>BLACK/GOLD</t>
  </si>
  <si>
    <t>80*50*40</t>
  </si>
  <si>
    <t>exterior 100% algodón, forro 100% poliester</t>
  </si>
  <si>
    <t>CHAMARRA CON RIB EN CINTURA PARA DAMA</t>
  </si>
  <si>
    <t>BLACK/SILVER</t>
  </si>
  <si>
    <t>80*70*40</t>
  </si>
  <si>
    <t>FK26/02MW</t>
  </si>
  <si>
    <t>CHAMARRA CON BOLSILLOS FRONTALES  PARA DAMA</t>
  </si>
  <si>
    <t>PEACH</t>
  </si>
  <si>
    <t>FK26/03MVW</t>
  </si>
  <si>
    <t>1--6</t>
  </si>
  <si>
    <t>CHALECO PARA DAMA</t>
  </si>
  <si>
    <t>FK26/04MW</t>
  </si>
  <si>
    <t>ROSE</t>
  </si>
  <si>
    <t>exterior suede               forro 100% poliester</t>
  </si>
  <si>
    <t>CHAMARRA SUEDE PARA DAMA</t>
  </si>
  <si>
    <t>PURPLE</t>
  </si>
  <si>
    <t>FK26/05MW</t>
  </si>
  <si>
    <t>1--11</t>
  </si>
  <si>
    <t>80*55*40</t>
  </si>
  <si>
    <t>CHAMARRA PARA DAMA</t>
  </si>
  <si>
    <t>WINE</t>
  </si>
  <si>
    <t>FK26/07HW</t>
  </si>
  <si>
    <t>80*45*40</t>
  </si>
  <si>
    <t>ROMPEVIENTOS PARA CABALLERO</t>
  </si>
  <si>
    <t>FK26/08HW</t>
  </si>
  <si>
    <t>FK26/11MW</t>
  </si>
  <si>
    <t>1--16</t>
  </si>
  <si>
    <t>80*42*40</t>
  </si>
  <si>
    <t>FK26/12MW</t>
  </si>
  <si>
    <t>1--25</t>
  </si>
  <si>
    <t>FK26/13HW</t>
  </si>
  <si>
    <t>ORANGE</t>
  </si>
  <si>
    <t>FK26/14HW</t>
  </si>
  <si>
    <t>FK26/15HW</t>
  </si>
  <si>
    <t>BLUE-1</t>
  </si>
  <si>
    <t>BLUE-2</t>
  </si>
  <si>
    <t>FK26/16HW</t>
  </si>
  <si>
    <t>FK26/17MW</t>
  </si>
  <si>
    <t>ROYAL BLUE</t>
  </si>
  <si>
    <t>FK26/18HW</t>
  </si>
  <si>
    <t>80*48*54</t>
  </si>
  <si>
    <t>FK26/19MW</t>
  </si>
  <si>
    <t>80*48*50</t>
  </si>
  <si>
    <t>FK26/20HW</t>
  </si>
  <si>
    <t>82*50*65</t>
  </si>
  <si>
    <r>
      <rPr>
        <sz val="12"/>
        <color theme="1"/>
        <rFont val="Arial"/>
      </rPr>
      <t>Remark:</t>
    </r>
    <r>
      <rPr>
        <sz val="12"/>
        <color rgb="FF548135"/>
        <rFont val="Arial"/>
      </rPr>
      <t>Green</t>
    </r>
    <r>
      <rPr>
        <sz val="12"/>
        <color theme="1"/>
        <rFont val="Arial"/>
      </rPr>
      <t xml:space="preserve"> is compress/</t>
    </r>
    <r>
      <rPr>
        <sz val="12"/>
        <color rgb="FFBF9000"/>
        <rFont val="Arial"/>
      </rPr>
      <t>Yellow</t>
    </r>
    <r>
      <rPr>
        <sz val="12"/>
        <color theme="1"/>
        <rFont val="Arial"/>
      </rPr>
      <t xml:space="preserve"> is carton/white is bag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</si>
</sst>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409]* #,##0.00_ ;_-[$$-409]* \-#,##0.00\ ;_-[$$-409]* &quot;-&quot;??_ ;_-@_ "/>
    <numFmt numFmtId="165" formatCode="0.0_ "/>
    <numFmt numFmtId="166" formatCode="d/m/yyyy"/>
    <numFmt numFmtId="167" formatCode="0_ "/>
    <numFmt numFmtId="168" formatCode="0.00_ "/>
  </numFmts>
  <fonts count="12" x14ac:knownFonts="1">
    <font>
      <sz val="11"/>
      <color theme="1"/>
      <name val="Calibri"/>
      <scheme val="minor"/>
    </font>
    <font>
      <sz val="20"/>
      <color theme="1"/>
      <name val="Arial"/>
    </font>
    <font>
      <sz val="12"/>
      <color theme="1"/>
      <name val="Arial"/>
    </font>
    <font>
      <sz val="11"/>
      <name val="Calibri"/>
    </font>
    <font>
      <sz val="10"/>
      <color theme="1"/>
      <name val="Arial"/>
    </font>
    <font>
      <sz val="9"/>
      <color theme="1"/>
      <name val="Arial"/>
    </font>
    <font>
      <b/>
      <sz val="36"/>
      <color theme="1"/>
      <name val="Arial"/>
    </font>
    <font>
      <sz val="11"/>
      <color theme="1"/>
      <name val="Arial"/>
    </font>
    <font>
      <sz val="12"/>
      <color theme="1"/>
      <name val="SimSun"/>
    </font>
    <font>
      <sz val="11"/>
      <color theme="1"/>
      <name val="Calibri"/>
    </font>
    <font>
      <sz val="12"/>
      <color rgb="FF548135"/>
      <name val="Arial"/>
    </font>
    <font>
      <sz val="12"/>
      <color rgb="FFBF9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/>
    </xf>
    <xf numFmtId="0" fontId="7" fillId="2" borderId="2" xfId="0" applyFont="1" applyFill="1" applyBorder="1"/>
    <xf numFmtId="0" fontId="7" fillId="2" borderId="2" xfId="0" applyFont="1" applyFill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167" fontId="2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8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wrapText="1"/>
    </xf>
    <xf numFmtId="165" fontId="2" fillId="2" borderId="5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166" fontId="2" fillId="2" borderId="5" xfId="0" applyNumberFormat="1" applyFont="1" applyFill="1" applyBorder="1" applyAlignment="1">
      <alignment horizontal="center" vertical="center" wrapText="1"/>
    </xf>
    <xf numFmtId="167" fontId="2" fillId="2" borderId="5" xfId="0" applyNumberFormat="1" applyFont="1" applyFill="1" applyBorder="1" applyAlignment="1">
      <alignment horizontal="center" vertical="center" wrapText="1"/>
    </xf>
    <xf numFmtId="165" fontId="2" fillId="2" borderId="5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4" ySplit="3" topLeftCell="E72" activePane="bottomRight" state="frozen"/>
      <selection pane="topRight" activeCell="E1" sqref="E1"/>
      <selection pane="bottomLeft" activeCell="A4" sqref="A4"/>
      <selection pane="bottomRight" activeCell="F175" sqref="F175"/>
    </sheetView>
  </sheetViews>
  <sheetFormatPr baseColWidth="10" defaultColWidth="14.4609375" defaultRowHeight="15" customHeight="1" x14ac:dyDescent="0.4"/>
  <cols>
    <col min="1" max="1" width="16.53515625" customWidth="1"/>
    <col min="2" max="2" width="9.07421875" customWidth="1"/>
    <col min="3" max="3" width="6.07421875" customWidth="1"/>
    <col min="4" max="4" width="6.69140625" customWidth="1"/>
    <col min="5" max="5" width="22.4609375" customWidth="1"/>
    <col min="6" max="10" width="8" customWidth="1"/>
    <col min="11" max="11" width="10.07421875" customWidth="1"/>
    <col min="12" max="12" width="10" customWidth="1"/>
    <col min="13" max="13" width="14.07421875" customWidth="1"/>
    <col min="14" max="14" width="15.07421875" customWidth="1"/>
    <col min="15" max="15" width="10.07421875" customWidth="1"/>
    <col min="16" max="16" width="11.69140625" customWidth="1"/>
    <col min="17" max="17" width="10.23046875" customWidth="1"/>
    <col min="18" max="18" width="7.69140625" customWidth="1"/>
    <col min="19" max="23" width="28.69140625" customWidth="1"/>
    <col min="24" max="26" width="9" customWidth="1"/>
  </cols>
  <sheetData>
    <row r="1" spans="1:26" ht="46.5" customHeight="1" x14ac:dyDescent="0.4">
      <c r="A1" s="62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2"/>
      <c r="T1" s="2"/>
      <c r="U1" s="1"/>
      <c r="V1" s="1"/>
      <c r="W1" s="1"/>
      <c r="X1" s="1"/>
      <c r="Y1" s="1"/>
      <c r="Z1" s="1"/>
    </row>
    <row r="2" spans="1:26" ht="30" customHeight="1" x14ac:dyDescent="0.4">
      <c r="A2" s="39" t="s">
        <v>1</v>
      </c>
      <c r="B2" s="40"/>
      <c r="C2" s="40"/>
      <c r="D2" s="40"/>
      <c r="E2" s="40"/>
      <c r="F2" s="40"/>
      <c r="G2" s="40"/>
      <c r="H2" s="40"/>
      <c r="I2" s="39"/>
      <c r="J2" s="40"/>
      <c r="K2" s="63" t="s">
        <v>2</v>
      </c>
      <c r="L2" s="40"/>
      <c r="M2" s="40"/>
      <c r="N2" s="40"/>
      <c r="O2" s="40"/>
      <c r="P2" s="40"/>
      <c r="Q2" s="40"/>
      <c r="R2" s="40"/>
      <c r="S2" s="2"/>
      <c r="T2" s="2"/>
      <c r="U2" s="1"/>
      <c r="V2" s="1"/>
      <c r="W2" s="1"/>
      <c r="X2" s="1"/>
      <c r="Y2" s="1"/>
      <c r="Z2" s="1"/>
    </row>
    <row r="3" spans="1:26" ht="46.5" customHeight="1" x14ac:dyDescent="0.4">
      <c r="A3" s="4" t="s">
        <v>3</v>
      </c>
      <c r="B3" s="64" t="s">
        <v>4</v>
      </c>
      <c r="C3" s="65"/>
      <c r="D3" s="4" t="s">
        <v>5</v>
      </c>
      <c r="E3" s="5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8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9" t="s">
        <v>19</v>
      </c>
      <c r="S3" s="10" t="s">
        <v>20</v>
      </c>
      <c r="T3" s="10" t="s">
        <v>21</v>
      </c>
      <c r="U3" s="4" t="s">
        <v>22</v>
      </c>
      <c r="V3" s="4" t="s">
        <v>23</v>
      </c>
      <c r="W3" s="4" t="s">
        <v>24</v>
      </c>
      <c r="X3" s="1"/>
      <c r="Y3" s="1"/>
      <c r="Z3" s="1"/>
    </row>
    <row r="4" spans="1:26" ht="16.5" customHeight="1" x14ac:dyDescent="0.4">
      <c r="A4" s="46" t="s">
        <v>25</v>
      </c>
      <c r="B4" s="46" t="s">
        <v>26</v>
      </c>
      <c r="C4" s="46">
        <v>20</v>
      </c>
      <c r="D4" s="46">
        <v>20</v>
      </c>
      <c r="E4" s="11"/>
      <c r="F4" s="12">
        <v>9</v>
      </c>
      <c r="G4" s="12">
        <v>9</v>
      </c>
      <c r="H4" s="12">
        <v>9</v>
      </c>
      <c r="I4" s="12">
        <v>9</v>
      </c>
      <c r="J4" s="12"/>
      <c r="K4" s="61">
        <f>SUM(F4:J6)</f>
        <v>60</v>
      </c>
      <c r="L4" s="61">
        <f>D4*K4</f>
        <v>1200</v>
      </c>
      <c r="M4" s="46">
        <v>21.6</v>
      </c>
      <c r="N4" s="46">
        <v>23.2</v>
      </c>
      <c r="O4" s="46" t="s">
        <v>28</v>
      </c>
      <c r="P4" s="46">
        <f>D4*M4</f>
        <v>432</v>
      </c>
      <c r="Q4" s="46">
        <f>D4*N4</f>
        <v>464</v>
      </c>
      <c r="R4" s="57">
        <f>0.52*0.62*0.7*D4</f>
        <v>4.5136000000000003</v>
      </c>
      <c r="S4" s="45">
        <v>9.09</v>
      </c>
      <c r="T4" s="45">
        <f>S4*L4</f>
        <v>10908</v>
      </c>
      <c r="U4" s="46" t="s">
        <v>29</v>
      </c>
      <c r="V4" s="46" t="s">
        <v>30</v>
      </c>
      <c r="W4" s="47" t="s">
        <v>31</v>
      </c>
      <c r="X4" s="13"/>
      <c r="Y4" s="13"/>
      <c r="Z4" s="13"/>
    </row>
    <row r="5" spans="1:26" ht="16.5" customHeight="1" x14ac:dyDescent="0.4">
      <c r="A5" s="36"/>
      <c r="B5" s="36"/>
      <c r="C5" s="36"/>
      <c r="D5" s="36"/>
      <c r="E5" s="11" t="s">
        <v>32</v>
      </c>
      <c r="F5" s="12">
        <v>3</v>
      </c>
      <c r="G5" s="12">
        <v>3</v>
      </c>
      <c r="H5" s="12">
        <v>3</v>
      </c>
      <c r="I5" s="12">
        <v>3</v>
      </c>
      <c r="J5" s="12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3"/>
      <c r="Y5" s="13"/>
      <c r="Z5" s="13"/>
    </row>
    <row r="6" spans="1:26" ht="16.5" customHeight="1" x14ac:dyDescent="0.4">
      <c r="A6" s="37"/>
      <c r="B6" s="37"/>
      <c r="C6" s="37"/>
      <c r="D6" s="37"/>
      <c r="E6" s="11" t="s">
        <v>33</v>
      </c>
      <c r="F6" s="12">
        <v>3</v>
      </c>
      <c r="G6" s="12">
        <v>3</v>
      </c>
      <c r="H6" s="12">
        <v>3</v>
      </c>
      <c r="I6" s="12">
        <v>3</v>
      </c>
      <c r="J6" s="12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6"/>
      <c r="X6" s="13"/>
      <c r="Y6" s="13"/>
      <c r="Z6" s="13"/>
    </row>
    <row r="7" spans="1:26" ht="16.5" customHeight="1" x14ac:dyDescent="0.4">
      <c r="A7" s="46">
        <v>21131</v>
      </c>
      <c r="B7" s="46" t="s">
        <v>34</v>
      </c>
      <c r="C7" s="46">
        <v>13</v>
      </c>
      <c r="D7" s="46">
        <v>12</v>
      </c>
      <c r="E7" s="14" t="s">
        <v>27</v>
      </c>
      <c r="F7" s="15">
        <v>8</v>
      </c>
      <c r="G7" s="15">
        <v>8</v>
      </c>
      <c r="H7" s="15">
        <v>8</v>
      </c>
      <c r="I7" s="15">
        <v>8</v>
      </c>
      <c r="J7" s="15"/>
      <c r="K7" s="46">
        <f>SUM(F7:J9)</f>
        <v>64</v>
      </c>
      <c r="L7" s="46">
        <f>K7*D7</f>
        <v>768</v>
      </c>
      <c r="M7" s="46">
        <v>34.880000000000003</v>
      </c>
      <c r="N7" s="46">
        <v>36.380000000000003</v>
      </c>
      <c r="O7" s="46" t="s">
        <v>28</v>
      </c>
      <c r="P7" s="46">
        <f>D7*M7</f>
        <v>418.56000000000006</v>
      </c>
      <c r="Q7" s="46">
        <f>D7*N7</f>
        <v>436.56000000000006</v>
      </c>
      <c r="R7" s="57">
        <f>0.52*0.62*0.7*D7</f>
        <v>2.7081599999999999</v>
      </c>
      <c r="S7" s="45">
        <v>9.09</v>
      </c>
      <c r="T7" s="45">
        <f>S7*817</f>
        <v>7426.53</v>
      </c>
      <c r="U7" s="46" t="s">
        <v>35</v>
      </c>
      <c r="V7" s="46" t="s">
        <v>30</v>
      </c>
      <c r="W7" s="36"/>
      <c r="X7" s="13"/>
      <c r="Y7" s="13"/>
      <c r="Z7" s="13"/>
    </row>
    <row r="8" spans="1:26" ht="16.5" customHeight="1" x14ac:dyDescent="0.4">
      <c r="A8" s="36"/>
      <c r="B8" s="36"/>
      <c r="C8" s="36"/>
      <c r="D8" s="36"/>
      <c r="E8" s="14" t="s">
        <v>32</v>
      </c>
      <c r="F8" s="15">
        <v>4</v>
      </c>
      <c r="G8" s="15">
        <v>4</v>
      </c>
      <c r="H8" s="15">
        <v>4</v>
      </c>
      <c r="I8" s="15">
        <v>4</v>
      </c>
      <c r="J8" s="15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13"/>
      <c r="Y8" s="13"/>
      <c r="Z8" s="13"/>
    </row>
    <row r="9" spans="1:26" ht="16.5" customHeight="1" x14ac:dyDescent="0.4">
      <c r="A9" s="36"/>
      <c r="B9" s="37"/>
      <c r="C9" s="36"/>
      <c r="D9" s="37"/>
      <c r="E9" s="14" t="s">
        <v>33</v>
      </c>
      <c r="F9" s="15">
        <v>4</v>
      </c>
      <c r="G9" s="15">
        <v>4</v>
      </c>
      <c r="H9" s="15">
        <v>4</v>
      </c>
      <c r="I9" s="15">
        <v>4</v>
      </c>
      <c r="J9" s="15"/>
      <c r="K9" s="37"/>
      <c r="L9" s="50"/>
      <c r="M9" s="37"/>
      <c r="N9" s="37"/>
      <c r="O9" s="37"/>
      <c r="P9" s="37"/>
      <c r="Q9" s="37"/>
      <c r="R9" s="37"/>
      <c r="S9" s="36"/>
      <c r="T9" s="36"/>
      <c r="U9" s="36"/>
      <c r="V9" s="36"/>
      <c r="W9" s="36"/>
      <c r="X9" s="13"/>
      <c r="Y9" s="13"/>
      <c r="Z9" s="13"/>
    </row>
    <row r="10" spans="1:26" ht="16.5" customHeight="1" x14ac:dyDescent="0.4">
      <c r="A10" s="36"/>
      <c r="B10" s="46">
        <v>13</v>
      </c>
      <c r="C10" s="36"/>
      <c r="D10" s="46">
        <v>1</v>
      </c>
      <c r="E10" s="14" t="s">
        <v>27</v>
      </c>
      <c r="F10" s="15">
        <v>9</v>
      </c>
      <c r="G10" s="15">
        <v>8</v>
      </c>
      <c r="H10" s="15">
        <v>7</v>
      </c>
      <c r="I10" s="15">
        <v>9</v>
      </c>
      <c r="J10" s="15"/>
      <c r="K10" s="46">
        <f>SUM(F10:J12)</f>
        <v>49</v>
      </c>
      <c r="L10" s="46">
        <f>K10*D10</f>
        <v>49</v>
      </c>
      <c r="M10" s="46">
        <v>26.7</v>
      </c>
      <c r="N10" s="46">
        <v>28.2</v>
      </c>
      <c r="O10" s="46" t="s">
        <v>28</v>
      </c>
      <c r="P10" s="46">
        <f>M10*D10</f>
        <v>26.7</v>
      </c>
      <c r="Q10" s="46">
        <f>N10*D10</f>
        <v>28.2</v>
      </c>
      <c r="R10" s="57">
        <f>0.52*0.62*0.7*D10</f>
        <v>0.22567999999999999</v>
      </c>
      <c r="S10" s="36"/>
      <c r="T10" s="36"/>
      <c r="U10" s="36"/>
      <c r="V10" s="36"/>
      <c r="W10" s="36"/>
      <c r="X10" s="13"/>
      <c r="Y10" s="13"/>
      <c r="Z10" s="13"/>
    </row>
    <row r="11" spans="1:26" ht="16.5" customHeight="1" x14ac:dyDescent="0.4">
      <c r="A11" s="36"/>
      <c r="B11" s="36"/>
      <c r="C11" s="36"/>
      <c r="D11" s="36"/>
      <c r="E11" s="14" t="s">
        <v>32</v>
      </c>
      <c r="F11" s="15">
        <v>2</v>
      </c>
      <c r="G11" s="15">
        <v>2</v>
      </c>
      <c r="H11" s="15">
        <v>2</v>
      </c>
      <c r="I11" s="15">
        <v>2</v>
      </c>
      <c r="J11" s="15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13"/>
      <c r="Y11" s="13"/>
      <c r="Z11" s="13"/>
    </row>
    <row r="12" spans="1:26" ht="16.5" customHeight="1" x14ac:dyDescent="0.4">
      <c r="A12" s="50"/>
      <c r="B12" s="37"/>
      <c r="C12" s="37"/>
      <c r="D12" s="37"/>
      <c r="E12" s="14" t="s">
        <v>33</v>
      </c>
      <c r="F12" s="15">
        <v>2</v>
      </c>
      <c r="G12" s="15">
        <v>2</v>
      </c>
      <c r="H12" s="15">
        <v>2</v>
      </c>
      <c r="I12" s="15">
        <v>2</v>
      </c>
      <c r="J12" s="15"/>
      <c r="K12" s="37"/>
      <c r="L12" s="50"/>
      <c r="M12" s="37"/>
      <c r="N12" s="37"/>
      <c r="O12" s="37"/>
      <c r="P12" s="50"/>
      <c r="Q12" s="50"/>
      <c r="R12" s="37"/>
      <c r="S12" s="37"/>
      <c r="T12" s="37"/>
      <c r="U12" s="37"/>
      <c r="V12" s="37"/>
      <c r="W12" s="36"/>
      <c r="X12" s="13"/>
      <c r="Y12" s="13"/>
      <c r="Z12" s="13"/>
    </row>
    <row r="13" spans="1:26" ht="16.5" customHeight="1" x14ac:dyDescent="0.35">
      <c r="A13" s="46" t="s">
        <v>36</v>
      </c>
      <c r="B13" s="15" t="s">
        <v>37</v>
      </c>
      <c r="C13" s="46">
        <v>13</v>
      </c>
      <c r="D13" s="15">
        <v>4</v>
      </c>
      <c r="E13" s="16" t="s">
        <v>38</v>
      </c>
      <c r="F13" s="17">
        <v>10</v>
      </c>
      <c r="G13" s="17">
        <v>0</v>
      </c>
      <c r="H13" s="17">
        <v>15</v>
      </c>
      <c r="I13" s="17">
        <v>15</v>
      </c>
      <c r="J13" s="17">
        <v>20</v>
      </c>
      <c r="K13" s="15">
        <f t="shared" ref="K13:K20" si="0">SUM(F13:J13)</f>
        <v>60</v>
      </c>
      <c r="L13" s="46">
        <f>D13*K13+D14*K14+D15*K15+D16*K16+D17*K17+D18*K18</f>
        <v>700</v>
      </c>
      <c r="M13" s="15">
        <v>81</v>
      </c>
      <c r="N13" s="15">
        <v>82.6</v>
      </c>
      <c r="O13" s="46" t="s">
        <v>28</v>
      </c>
      <c r="P13" s="18">
        <f t="shared" ref="P13:P19" si="1">D13*M13</f>
        <v>324</v>
      </c>
      <c r="Q13" s="18">
        <f t="shared" ref="Q13:Q19" si="2">D13*N13</f>
        <v>330.4</v>
      </c>
      <c r="R13" s="57">
        <f>0.52*0.62*0.7*13</f>
        <v>2.93384</v>
      </c>
      <c r="S13" s="45">
        <v>8.57</v>
      </c>
      <c r="T13" s="45">
        <f>S13*L13</f>
        <v>5999</v>
      </c>
      <c r="U13" s="46" t="s">
        <v>35</v>
      </c>
      <c r="V13" s="46" t="s">
        <v>39</v>
      </c>
      <c r="W13" s="36"/>
      <c r="X13" s="13"/>
      <c r="Y13" s="13"/>
      <c r="Z13" s="13"/>
    </row>
    <row r="14" spans="1:26" ht="16.5" customHeight="1" x14ac:dyDescent="0.35">
      <c r="A14" s="36"/>
      <c r="B14" s="15">
        <v>5</v>
      </c>
      <c r="C14" s="36"/>
      <c r="D14" s="15">
        <v>1</v>
      </c>
      <c r="E14" s="16" t="s">
        <v>38</v>
      </c>
      <c r="F14" s="17">
        <v>10</v>
      </c>
      <c r="G14" s="17">
        <v>0</v>
      </c>
      <c r="H14" s="17">
        <v>5</v>
      </c>
      <c r="I14" s="17">
        <v>5</v>
      </c>
      <c r="J14" s="17">
        <v>40</v>
      </c>
      <c r="K14" s="15">
        <f t="shared" si="0"/>
        <v>60</v>
      </c>
      <c r="L14" s="36"/>
      <c r="M14" s="15">
        <v>81</v>
      </c>
      <c r="N14" s="15">
        <v>82.6</v>
      </c>
      <c r="O14" s="36"/>
      <c r="P14" s="18">
        <f t="shared" si="1"/>
        <v>81</v>
      </c>
      <c r="Q14" s="18">
        <f t="shared" si="2"/>
        <v>82.6</v>
      </c>
      <c r="R14" s="36"/>
      <c r="S14" s="36"/>
      <c r="T14" s="36"/>
      <c r="U14" s="36"/>
      <c r="V14" s="36"/>
      <c r="W14" s="36"/>
      <c r="X14" s="13"/>
      <c r="Y14" s="13"/>
      <c r="Z14" s="13"/>
    </row>
    <row r="15" spans="1:26" ht="16.5" customHeight="1" x14ac:dyDescent="0.35">
      <c r="A15" s="36"/>
      <c r="B15" s="15" t="s">
        <v>40</v>
      </c>
      <c r="C15" s="36"/>
      <c r="D15" s="15">
        <v>2</v>
      </c>
      <c r="E15" s="16" t="s">
        <v>41</v>
      </c>
      <c r="F15" s="17">
        <v>10</v>
      </c>
      <c r="G15" s="17">
        <v>20</v>
      </c>
      <c r="H15" s="17">
        <v>10</v>
      </c>
      <c r="I15" s="17">
        <v>0</v>
      </c>
      <c r="J15" s="17">
        <v>10</v>
      </c>
      <c r="K15" s="15">
        <f t="shared" si="0"/>
        <v>50</v>
      </c>
      <c r="L15" s="36"/>
      <c r="M15" s="15">
        <v>67.5</v>
      </c>
      <c r="N15" s="15">
        <v>69.099999999999994</v>
      </c>
      <c r="O15" s="36"/>
      <c r="P15" s="18">
        <f t="shared" si="1"/>
        <v>135</v>
      </c>
      <c r="Q15" s="18">
        <f t="shared" si="2"/>
        <v>138.19999999999999</v>
      </c>
      <c r="R15" s="36"/>
      <c r="S15" s="36"/>
      <c r="T15" s="36"/>
      <c r="U15" s="36"/>
      <c r="V15" s="36"/>
      <c r="W15" s="36"/>
      <c r="X15" s="13"/>
      <c r="Y15" s="13"/>
      <c r="Z15" s="13"/>
    </row>
    <row r="16" spans="1:26" ht="16.5" customHeight="1" x14ac:dyDescent="0.35">
      <c r="A16" s="36"/>
      <c r="B16" s="15" t="s">
        <v>42</v>
      </c>
      <c r="C16" s="36"/>
      <c r="D16" s="15">
        <v>2</v>
      </c>
      <c r="E16" s="16" t="s">
        <v>43</v>
      </c>
      <c r="F16" s="17">
        <v>0</v>
      </c>
      <c r="G16" s="17">
        <v>10</v>
      </c>
      <c r="H16" s="17">
        <v>0</v>
      </c>
      <c r="I16" s="17">
        <v>20</v>
      </c>
      <c r="J16" s="17">
        <v>20</v>
      </c>
      <c r="K16" s="15">
        <f t="shared" si="0"/>
        <v>50</v>
      </c>
      <c r="L16" s="36"/>
      <c r="M16" s="15">
        <v>67.5</v>
      </c>
      <c r="N16" s="15">
        <v>69.099999999999994</v>
      </c>
      <c r="O16" s="36"/>
      <c r="P16" s="18">
        <f t="shared" si="1"/>
        <v>135</v>
      </c>
      <c r="Q16" s="18">
        <f t="shared" si="2"/>
        <v>138.19999999999999</v>
      </c>
      <c r="R16" s="36"/>
      <c r="S16" s="36"/>
      <c r="T16" s="36"/>
      <c r="U16" s="36"/>
      <c r="V16" s="36"/>
      <c r="W16" s="36"/>
      <c r="X16" s="13"/>
      <c r="Y16" s="13"/>
      <c r="Z16" s="13"/>
    </row>
    <row r="17" spans="1:26" ht="16.5" customHeight="1" x14ac:dyDescent="0.35">
      <c r="A17" s="36"/>
      <c r="B17" s="15" t="s">
        <v>44</v>
      </c>
      <c r="C17" s="36"/>
      <c r="D17" s="15">
        <v>2</v>
      </c>
      <c r="E17" s="16" t="s">
        <v>45</v>
      </c>
      <c r="F17" s="17">
        <v>10</v>
      </c>
      <c r="G17" s="17">
        <v>10</v>
      </c>
      <c r="H17" s="17">
        <v>10</v>
      </c>
      <c r="I17" s="17">
        <v>10</v>
      </c>
      <c r="J17" s="17">
        <v>10</v>
      </c>
      <c r="K17" s="15">
        <f t="shared" si="0"/>
        <v>50</v>
      </c>
      <c r="L17" s="36"/>
      <c r="M17" s="15">
        <v>67.5</v>
      </c>
      <c r="N17" s="15">
        <v>69.099999999999994</v>
      </c>
      <c r="O17" s="36"/>
      <c r="P17" s="18">
        <f t="shared" si="1"/>
        <v>135</v>
      </c>
      <c r="Q17" s="18">
        <f t="shared" si="2"/>
        <v>138.19999999999999</v>
      </c>
      <c r="R17" s="36"/>
      <c r="S17" s="36"/>
      <c r="T17" s="36"/>
      <c r="U17" s="36"/>
      <c r="V17" s="36"/>
      <c r="W17" s="36"/>
      <c r="X17" s="13"/>
      <c r="Y17" s="13"/>
      <c r="Z17" s="13"/>
    </row>
    <row r="18" spans="1:26" ht="16.5" customHeight="1" x14ac:dyDescent="0.35">
      <c r="A18" s="37"/>
      <c r="B18" s="15" t="s">
        <v>46</v>
      </c>
      <c r="C18" s="37"/>
      <c r="D18" s="15">
        <v>2</v>
      </c>
      <c r="E18" s="16" t="s">
        <v>47</v>
      </c>
      <c r="F18" s="17">
        <v>10</v>
      </c>
      <c r="G18" s="17">
        <v>10</v>
      </c>
      <c r="H18" s="17">
        <v>10</v>
      </c>
      <c r="I18" s="17">
        <v>0</v>
      </c>
      <c r="J18" s="17">
        <v>20</v>
      </c>
      <c r="K18" s="15">
        <f t="shared" si="0"/>
        <v>50</v>
      </c>
      <c r="L18" s="37"/>
      <c r="M18" s="15">
        <v>67.5</v>
      </c>
      <c r="N18" s="15">
        <v>69.099999999999994</v>
      </c>
      <c r="O18" s="37"/>
      <c r="P18" s="18">
        <f t="shared" si="1"/>
        <v>135</v>
      </c>
      <c r="Q18" s="18">
        <f t="shared" si="2"/>
        <v>138.19999999999999</v>
      </c>
      <c r="R18" s="37"/>
      <c r="S18" s="37"/>
      <c r="T18" s="37"/>
      <c r="U18" s="37"/>
      <c r="V18" s="37"/>
      <c r="W18" s="36"/>
      <c r="X18" s="13"/>
      <c r="Y18" s="13"/>
      <c r="Z18" s="13"/>
    </row>
    <row r="19" spans="1:26" ht="38.25" customHeight="1" x14ac:dyDescent="0.4">
      <c r="A19" s="46" t="s">
        <v>48</v>
      </c>
      <c r="B19" s="19" t="s">
        <v>49</v>
      </c>
      <c r="C19" s="46">
        <v>15</v>
      </c>
      <c r="D19" s="15">
        <v>14</v>
      </c>
      <c r="E19" s="14" t="s">
        <v>27</v>
      </c>
      <c r="F19" s="15">
        <v>5</v>
      </c>
      <c r="G19" s="15">
        <v>5</v>
      </c>
      <c r="H19" s="15">
        <v>5</v>
      </c>
      <c r="I19" s="15">
        <v>5</v>
      </c>
      <c r="J19" s="15"/>
      <c r="K19" s="15">
        <f t="shared" si="0"/>
        <v>20</v>
      </c>
      <c r="L19" s="46">
        <f>D19*K19+D20*K20</f>
        <v>302</v>
      </c>
      <c r="M19" s="15">
        <v>21.6</v>
      </c>
      <c r="N19" s="15">
        <v>23.2</v>
      </c>
      <c r="O19" s="46" t="s">
        <v>50</v>
      </c>
      <c r="P19" s="15">
        <f t="shared" si="1"/>
        <v>302.40000000000003</v>
      </c>
      <c r="Q19" s="15">
        <f t="shared" si="2"/>
        <v>324.8</v>
      </c>
      <c r="R19" s="20">
        <f t="shared" ref="R19:R21" si="3">0.57*0.38*0.7*D19</f>
        <v>2.1226799999999999</v>
      </c>
      <c r="S19" s="45">
        <v>6.5</v>
      </c>
      <c r="T19" s="45">
        <f>S19*L19</f>
        <v>1963</v>
      </c>
      <c r="U19" s="46" t="s">
        <v>35</v>
      </c>
      <c r="V19" s="46" t="s">
        <v>30</v>
      </c>
      <c r="W19" s="36"/>
      <c r="X19" s="13"/>
      <c r="Y19" s="13"/>
      <c r="Z19" s="13"/>
    </row>
    <row r="20" spans="1:26" ht="38.25" customHeight="1" x14ac:dyDescent="0.4">
      <c r="A20" s="50"/>
      <c r="B20" s="15">
        <v>15</v>
      </c>
      <c r="C20" s="50"/>
      <c r="D20" s="18">
        <v>1</v>
      </c>
      <c r="E20" s="14" t="s">
        <v>27</v>
      </c>
      <c r="F20" s="15">
        <v>6</v>
      </c>
      <c r="G20" s="15">
        <v>5</v>
      </c>
      <c r="H20" s="15">
        <v>6</v>
      </c>
      <c r="I20" s="15">
        <v>5</v>
      </c>
      <c r="J20" s="15"/>
      <c r="K20" s="15">
        <f t="shared" si="0"/>
        <v>22</v>
      </c>
      <c r="L20" s="37"/>
      <c r="M20" s="15">
        <v>23.76</v>
      </c>
      <c r="N20" s="15">
        <v>25.52</v>
      </c>
      <c r="O20" s="50"/>
      <c r="P20" s="15">
        <f>M20*D20</f>
        <v>23.76</v>
      </c>
      <c r="Q20" s="15">
        <f>N20*D20</f>
        <v>25.52</v>
      </c>
      <c r="R20" s="20">
        <f t="shared" si="3"/>
        <v>0.15161999999999998</v>
      </c>
      <c r="S20" s="37"/>
      <c r="T20" s="37"/>
      <c r="U20" s="37"/>
      <c r="V20" s="37"/>
      <c r="W20" s="36"/>
      <c r="X20" s="13"/>
      <c r="Y20" s="13"/>
      <c r="Z20" s="13"/>
    </row>
    <row r="21" spans="1:26" ht="35.25" customHeight="1" x14ac:dyDescent="0.4">
      <c r="A21" s="46">
        <v>21136</v>
      </c>
      <c r="B21" s="46" t="s">
        <v>51</v>
      </c>
      <c r="C21" s="46">
        <v>50</v>
      </c>
      <c r="D21" s="46">
        <v>50</v>
      </c>
      <c r="E21" s="14" t="s">
        <v>27</v>
      </c>
      <c r="F21" s="15">
        <v>3</v>
      </c>
      <c r="G21" s="15">
        <v>3</v>
      </c>
      <c r="H21" s="15">
        <v>3</v>
      </c>
      <c r="I21" s="15">
        <v>3</v>
      </c>
      <c r="J21" s="15"/>
      <c r="K21" s="46">
        <f>SUM(F21:J23)</f>
        <v>20</v>
      </c>
      <c r="L21" s="46">
        <f>D21*K21</f>
        <v>1000</v>
      </c>
      <c r="M21" s="46">
        <v>22</v>
      </c>
      <c r="N21" s="46">
        <v>23.5</v>
      </c>
      <c r="O21" s="46" t="s">
        <v>50</v>
      </c>
      <c r="P21" s="46">
        <f>D21*M21</f>
        <v>1100</v>
      </c>
      <c r="Q21" s="46">
        <f>D21*N21</f>
        <v>1175</v>
      </c>
      <c r="R21" s="57">
        <f t="shared" si="3"/>
        <v>7.5809999999999986</v>
      </c>
      <c r="S21" s="45">
        <v>9.09</v>
      </c>
      <c r="T21" s="45">
        <f>S21*L21</f>
        <v>9090</v>
      </c>
      <c r="U21" s="46" t="s">
        <v>35</v>
      </c>
      <c r="V21" s="46" t="s">
        <v>30</v>
      </c>
      <c r="W21" s="36"/>
      <c r="X21" s="13"/>
      <c r="Y21" s="13"/>
      <c r="Z21" s="13"/>
    </row>
    <row r="22" spans="1:26" ht="35.25" customHeight="1" x14ac:dyDescent="0.4">
      <c r="A22" s="36"/>
      <c r="B22" s="36"/>
      <c r="C22" s="36"/>
      <c r="D22" s="36"/>
      <c r="E22" s="14" t="s">
        <v>52</v>
      </c>
      <c r="F22" s="15">
        <v>1</v>
      </c>
      <c r="G22" s="15">
        <v>1</v>
      </c>
      <c r="H22" s="15">
        <v>1</v>
      </c>
      <c r="I22" s="15">
        <v>1</v>
      </c>
      <c r="J22" s="15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13"/>
      <c r="Y22" s="13"/>
      <c r="Z22" s="13"/>
    </row>
    <row r="23" spans="1:26" ht="35.25" customHeight="1" x14ac:dyDescent="0.4">
      <c r="A23" s="37"/>
      <c r="B23" s="37"/>
      <c r="C23" s="37"/>
      <c r="D23" s="37"/>
      <c r="E23" s="14" t="s">
        <v>53</v>
      </c>
      <c r="F23" s="15">
        <v>1</v>
      </c>
      <c r="G23" s="15">
        <v>1</v>
      </c>
      <c r="H23" s="15">
        <v>1</v>
      </c>
      <c r="I23" s="15">
        <v>1</v>
      </c>
      <c r="J23" s="15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6"/>
      <c r="X23" s="13"/>
      <c r="Y23" s="13"/>
      <c r="Z23" s="13"/>
    </row>
    <row r="24" spans="1:26" ht="16.5" customHeight="1" x14ac:dyDescent="0.35">
      <c r="A24" s="46" t="s">
        <v>54</v>
      </c>
      <c r="B24" s="15" t="s">
        <v>55</v>
      </c>
      <c r="C24" s="46">
        <v>18</v>
      </c>
      <c r="D24" s="15">
        <v>8</v>
      </c>
      <c r="E24" s="14" t="s">
        <v>38</v>
      </c>
      <c r="F24" s="17">
        <v>5</v>
      </c>
      <c r="G24" s="17">
        <v>5</v>
      </c>
      <c r="H24" s="17">
        <v>5</v>
      </c>
      <c r="I24" s="17">
        <v>5</v>
      </c>
      <c r="J24" s="17">
        <v>5</v>
      </c>
      <c r="K24" s="15">
        <f t="shared" ref="K24:K28" si="4">SUM(F24:J24)</f>
        <v>25</v>
      </c>
      <c r="L24" s="46">
        <f>D24*K24+D25*K25+D26*K26+D27*K27+D28*K28</f>
        <v>450</v>
      </c>
      <c r="M24" s="46">
        <v>27.5</v>
      </c>
      <c r="N24" s="46">
        <v>29.05</v>
      </c>
      <c r="O24" s="46" t="s">
        <v>56</v>
      </c>
      <c r="P24" s="46">
        <f>SUM(D24:D28)*M24</f>
        <v>495</v>
      </c>
      <c r="Q24" s="46">
        <f>SUM(D24:D28)*N24</f>
        <v>522.9</v>
      </c>
      <c r="R24" s="57">
        <f>0.56*0.37*0.92*SUM(D24:D28)</f>
        <v>3.4312320000000005</v>
      </c>
      <c r="S24" s="45">
        <v>8.57</v>
      </c>
      <c r="T24" s="45">
        <f>S24*L24</f>
        <v>3856.5</v>
      </c>
      <c r="U24" s="46" t="s">
        <v>35</v>
      </c>
      <c r="V24" s="46" t="s">
        <v>57</v>
      </c>
      <c r="W24" s="36"/>
      <c r="X24" s="13"/>
      <c r="Y24" s="13"/>
      <c r="Z24" s="13"/>
    </row>
    <row r="25" spans="1:26" ht="16.5" customHeight="1" x14ac:dyDescent="0.35">
      <c r="A25" s="36"/>
      <c r="B25" s="15" t="s">
        <v>58</v>
      </c>
      <c r="C25" s="36"/>
      <c r="D25" s="15">
        <v>3</v>
      </c>
      <c r="E25" s="14" t="s">
        <v>52</v>
      </c>
      <c r="F25" s="17">
        <v>10</v>
      </c>
      <c r="G25" s="17">
        <v>5</v>
      </c>
      <c r="H25" s="17"/>
      <c r="I25" s="17">
        <v>5</v>
      </c>
      <c r="J25" s="17">
        <v>5</v>
      </c>
      <c r="K25" s="15">
        <f t="shared" si="4"/>
        <v>25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13"/>
      <c r="Y25" s="13"/>
      <c r="Z25" s="13"/>
    </row>
    <row r="26" spans="1:26" ht="16.5" customHeight="1" x14ac:dyDescent="0.35">
      <c r="A26" s="36"/>
      <c r="B26" s="15" t="s">
        <v>59</v>
      </c>
      <c r="C26" s="36"/>
      <c r="D26" s="15">
        <v>3</v>
      </c>
      <c r="E26" s="14" t="s">
        <v>60</v>
      </c>
      <c r="F26" s="17">
        <v>5</v>
      </c>
      <c r="G26" s="17">
        <v>10</v>
      </c>
      <c r="H26" s="17">
        <v>5</v>
      </c>
      <c r="I26" s="17">
        <v>5</v>
      </c>
      <c r="J26" s="17"/>
      <c r="K26" s="15">
        <f t="shared" si="4"/>
        <v>25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13"/>
      <c r="Y26" s="13"/>
      <c r="Z26" s="13"/>
    </row>
    <row r="27" spans="1:26" ht="16.5" customHeight="1" x14ac:dyDescent="0.35">
      <c r="A27" s="36"/>
      <c r="B27" s="15" t="s">
        <v>61</v>
      </c>
      <c r="C27" s="36"/>
      <c r="D27" s="15">
        <v>3</v>
      </c>
      <c r="E27" s="14" t="s">
        <v>62</v>
      </c>
      <c r="F27" s="17">
        <v>10</v>
      </c>
      <c r="G27" s="17"/>
      <c r="H27" s="17">
        <v>5</v>
      </c>
      <c r="I27" s="17">
        <v>5</v>
      </c>
      <c r="J27" s="17">
        <v>5</v>
      </c>
      <c r="K27" s="15">
        <f t="shared" si="4"/>
        <v>25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13"/>
      <c r="Y27" s="13"/>
      <c r="Z27" s="13"/>
    </row>
    <row r="28" spans="1:26" ht="16.5" customHeight="1" x14ac:dyDescent="0.35">
      <c r="A28" s="37"/>
      <c r="B28" s="15">
        <v>18</v>
      </c>
      <c r="C28" s="37"/>
      <c r="D28" s="15">
        <v>1</v>
      </c>
      <c r="E28" s="14" t="s">
        <v>63</v>
      </c>
      <c r="F28" s="17">
        <v>25</v>
      </c>
      <c r="G28" s="17"/>
      <c r="H28" s="17"/>
      <c r="I28" s="17"/>
      <c r="J28" s="17"/>
      <c r="K28" s="15">
        <f t="shared" si="4"/>
        <v>25</v>
      </c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6"/>
      <c r="X28" s="13"/>
      <c r="Y28" s="13"/>
      <c r="Z28" s="13"/>
    </row>
    <row r="29" spans="1:26" ht="15.75" customHeight="1" x14ac:dyDescent="0.4">
      <c r="A29" s="46" t="s">
        <v>64</v>
      </c>
      <c r="B29" s="46" t="s">
        <v>65</v>
      </c>
      <c r="C29" s="46">
        <v>3</v>
      </c>
      <c r="D29" s="46">
        <v>3</v>
      </c>
      <c r="E29" s="21" t="s">
        <v>27</v>
      </c>
      <c r="F29" s="15">
        <v>15</v>
      </c>
      <c r="G29" s="15"/>
      <c r="H29" s="15"/>
      <c r="I29" s="15"/>
      <c r="J29" s="15"/>
      <c r="K29" s="48">
        <f>SUM(F29:J33)</f>
        <v>35</v>
      </c>
      <c r="L29" s="48">
        <f>D29*K29</f>
        <v>105</v>
      </c>
      <c r="M29" s="48">
        <f>1*K29</f>
        <v>35</v>
      </c>
      <c r="N29" s="48">
        <v>36.5</v>
      </c>
      <c r="O29" s="48" t="s">
        <v>66</v>
      </c>
      <c r="P29" s="48">
        <f>M29*D29</f>
        <v>105</v>
      </c>
      <c r="Q29" s="48">
        <f>N29*D29</f>
        <v>109.5</v>
      </c>
      <c r="R29" s="49">
        <f>0.55*0.36*0.92*D29</f>
        <v>0.54648000000000008</v>
      </c>
      <c r="S29" s="45">
        <v>11.62</v>
      </c>
      <c r="T29" s="45">
        <f>S29*L29</f>
        <v>1220.0999999999999</v>
      </c>
      <c r="U29" s="48" t="s">
        <v>67</v>
      </c>
      <c r="V29" s="46" t="s">
        <v>68</v>
      </c>
      <c r="W29" s="36"/>
      <c r="X29" s="13"/>
      <c r="Y29" s="13"/>
      <c r="Z29" s="13"/>
    </row>
    <row r="30" spans="1:26" ht="15.75" customHeight="1" x14ac:dyDescent="0.4">
      <c r="A30" s="36"/>
      <c r="B30" s="36"/>
      <c r="C30" s="36"/>
      <c r="D30" s="36"/>
      <c r="E30" s="21" t="s">
        <v>69</v>
      </c>
      <c r="F30" s="15">
        <v>5</v>
      </c>
      <c r="G30" s="15"/>
      <c r="H30" s="15"/>
      <c r="I30" s="15"/>
      <c r="J30" s="15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13"/>
      <c r="Y30" s="13"/>
      <c r="Z30" s="13"/>
    </row>
    <row r="31" spans="1:26" ht="15.75" customHeight="1" x14ac:dyDescent="0.4">
      <c r="A31" s="36"/>
      <c r="B31" s="36"/>
      <c r="C31" s="36"/>
      <c r="D31" s="36"/>
      <c r="E31" s="21" t="s">
        <v>70</v>
      </c>
      <c r="F31" s="15">
        <v>5</v>
      </c>
      <c r="G31" s="15"/>
      <c r="H31" s="15"/>
      <c r="I31" s="15"/>
      <c r="J31" s="1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13"/>
      <c r="Y31" s="13"/>
      <c r="Z31" s="13"/>
    </row>
    <row r="32" spans="1:26" ht="15.75" customHeight="1" x14ac:dyDescent="0.4">
      <c r="A32" s="36"/>
      <c r="B32" s="36"/>
      <c r="C32" s="36"/>
      <c r="D32" s="36"/>
      <c r="E32" s="21" t="s">
        <v>71</v>
      </c>
      <c r="F32" s="15">
        <v>5</v>
      </c>
      <c r="G32" s="15"/>
      <c r="H32" s="15"/>
      <c r="I32" s="15"/>
      <c r="J32" s="15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13"/>
      <c r="Y32" s="13"/>
      <c r="Z32" s="13"/>
    </row>
    <row r="33" spans="1:26" ht="15.75" customHeight="1" x14ac:dyDescent="0.4">
      <c r="A33" s="37"/>
      <c r="B33" s="37"/>
      <c r="C33" s="37"/>
      <c r="D33" s="37"/>
      <c r="E33" s="21" t="s">
        <v>62</v>
      </c>
      <c r="F33" s="15">
        <v>5</v>
      </c>
      <c r="G33" s="15"/>
      <c r="H33" s="15"/>
      <c r="I33" s="15"/>
      <c r="J33" s="15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6"/>
      <c r="X33" s="13"/>
      <c r="Y33" s="13"/>
      <c r="Z33" s="13"/>
    </row>
    <row r="34" spans="1:26" ht="15.75" customHeight="1" x14ac:dyDescent="0.4">
      <c r="A34" s="54" t="s">
        <v>72</v>
      </c>
      <c r="B34" s="46" t="s">
        <v>73</v>
      </c>
      <c r="C34" s="46">
        <v>7</v>
      </c>
      <c r="D34" s="46">
        <v>7</v>
      </c>
      <c r="E34" s="21" t="s">
        <v>27</v>
      </c>
      <c r="F34" s="22">
        <v>15</v>
      </c>
      <c r="G34" s="22"/>
      <c r="H34" s="22"/>
      <c r="I34" s="22"/>
      <c r="J34" s="22"/>
      <c r="K34" s="58">
        <f>SUM(F34:J37)</f>
        <v>30</v>
      </c>
      <c r="L34" s="48">
        <f>D34*K34</f>
        <v>210</v>
      </c>
      <c r="M34" s="48">
        <f>0.7*K34</f>
        <v>21</v>
      </c>
      <c r="N34" s="48">
        <f>M34+1.5</f>
        <v>22.5</v>
      </c>
      <c r="O34" s="48" t="s">
        <v>74</v>
      </c>
      <c r="P34" s="48">
        <f>M34*D34</f>
        <v>147</v>
      </c>
      <c r="Q34" s="48">
        <f>N34*D34</f>
        <v>157.5</v>
      </c>
      <c r="R34" s="49">
        <f>0.57*0.38*0.5*D34</f>
        <v>0.7581</v>
      </c>
      <c r="S34" s="45">
        <v>7.44</v>
      </c>
      <c r="T34" s="45">
        <f>S34*L34</f>
        <v>1562.4</v>
      </c>
      <c r="U34" s="48" t="s">
        <v>75</v>
      </c>
      <c r="V34" s="46" t="s">
        <v>68</v>
      </c>
      <c r="W34" s="36"/>
      <c r="X34" s="13"/>
      <c r="Y34" s="13"/>
      <c r="Z34" s="13"/>
    </row>
    <row r="35" spans="1:26" ht="15.75" customHeight="1" x14ac:dyDescent="0.4">
      <c r="A35" s="36"/>
      <c r="B35" s="36"/>
      <c r="C35" s="36"/>
      <c r="D35" s="36"/>
      <c r="E35" s="21" t="s">
        <v>76</v>
      </c>
      <c r="F35" s="15">
        <v>5</v>
      </c>
      <c r="G35" s="15"/>
      <c r="H35" s="15"/>
      <c r="I35" s="15"/>
      <c r="J35" s="15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13"/>
      <c r="Y35" s="13"/>
      <c r="Z35" s="13"/>
    </row>
    <row r="36" spans="1:26" ht="15.75" customHeight="1" x14ac:dyDescent="0.4">
      <c r="A36" s="36"/>
      <c r="B36" s="36"/>
      <c r="C36" s="36"/>
      <c r="D36" s="36"/>
      <c r="E36" s="21" t="s">
        <v>71</v>
      </c>
      <c r="F36" s="15">
        <v>5</v>
      </c>
      <c r="G36" s="15"/>
      <c r="H36" s="15"/>
      <c r="I36" s="15"/>
      <c r="J36" s="15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13"/>
      <c r="Y36" s="13"/>
      <c r="Z36" s="13"/>
    </row>
    <row r="37" spans="1:26" ht="15.75" customHeight="1" x14ac:dyDescent="0.4">
      <c r="A37" s="50"/>
      <c r="B37" s="37"/>
      <c r="C37" s="37"/>
      <c r="D37" s="37"/>
      <c r="E37" s="21" t="s">
        <v>77</v>
      </c>
      <c r="F37" s="15">
        <v>5</v>
      </c>
      <c r="G37" s="15"/>
      <c r="H37" s="15"/>
      <c r="I37" s="15"/>
      <c r="J37" s="15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6"/>
      <c r="X37" s="13"/>
      <c r="Y37" s="13"/>
      <c r="Z37" s="13"/>
    </row>
    <row r="38" spans="1:26" ht="15.75" customHeight="1" x14ac:dyDescent="0.4">
      <c r="A38" s="46" t="s">
        <v>78</v>
      </c>
      <c r="B38" s="51" t="s">
        <v>37</v>
      </c>
      <c r="C38" s="51">
        <v>4</v>
      </c>
      <c r="D38" s="54">
        <v>4</v>
      </c>
      <c r="E38" s="23" t="s">
        <v>27</v>
      </c>
      <c r="F38" s="15">
        <v>15</v>
      </c>
      <c r="G38" s="15"/>
      <c r="H38" s="15"/>
      <c r="I38" s="15"/>
      <c r="J38" s="15"/>
      <c r="K38" s="48">
        <f>SUM(F38:J43)</f>
        <v>40</v>
      </c>
      <c r="L38" s="48">
        <f>D38*K38</f>
        <v>160</v>
      </c>
      <c r="M38" s="48">
        <f>0.8*K38</f>
        <v>32</v>
      </c>
      <c r="N38" s="48">
        <v>33.5</v>
      </c>
      <c r="O38" s="48" t="s">
        <v>79</v>
      </c>
      <c r="P38" s="48">
        <f>M38*D38</f>
        <v>128</v>
      </c>
      <c r="Q38" s="48">
        <f>N38*D38</f>
        <v>134</v>
      </c>
      <c r="R38" s="49">
        <f>0.57*0.38*0.76*D38</f>
        <v>0.65846399999999994</v>
      </c>
      <c r="S38" s="45">
        <v>11.62</v>
      </c>
      <c r="T38" s="45">
        <f>S38*L38</f>
        <v>1859.1999999999998</v>
      </c>
      <c r="U38" s="48" t="s">
        <v>80</v>
      </c>
      <c r="V38" s="46" t="s">
        <v>68</v>
      </c>
      <c r="W38" s="36"/>
      <c r="X38" s="13"/>
      <c r="Y38" s="13"/>
      <c r="Z38" s="13"/>
    </row>
    <row r="39" spans="1:26" ht="15.75" customHeight="1" x14ac:dyDescent="0.4">
      <c r="A39" s="36"/>
      <c r="B39" s="52"/>
      <c r="C39" s="52"/>
      <c r="D39" s="36"/>
      <c r="E39" s="21" t="s">
        <v>81</v>
      </c>
      <c r="F39" s="15">
        <v>5</v>
      </c>
      <c r="G39" s="15"/>
      <c r="H39" s="15"/>
      <c r="I39" s="15"/>
      <c r="J39" s="15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13"/>
      <c r="Y39" s="13"/>
      <c r="Z39" s="13"/>
    </row>
    <row r="40" spans="1:26" ht="15.75" customHeight="1" x14ac:dyDescent="0.4">
      <c r="A40" s="36"/>
      <c r="B40" s="52"/>
      <c r="C40" s="52"/>
      <c r="D40" s="36"/>
      <c r="E40" s="21" t="s">
        <v>82</v>
      </c>
      <c r="F40" s="15">
        <v>5</v>
      </c>
      <c r="G40" s="15"/>
      <c r="H40" s="15"/>
      <c r="I40" s="15"/>
      <c r="J40" s="15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13"/>
      <c r="Y40" s="13"/>
      <c r="Z40" s="13"/>
    </row>
    <row r="41" spans="1:26" ht="15.75" customHeight="1" x14ac:dyDescent="0.4">
      <c r="A41" s="36"/>
      <c r="B41" s="52"/>
      <c r="C41" s="52"/>
      <c r="D41" s="36"/>
      <c r="E41" s="21" t="s">
        <v>32</v>
      </c>
      <c r="F41" s="15">
        <v>5</v>
      </c>
      <c r="G41" s="15"/>
      <c r="H41" s="15"/>
      <c r="I41" s="15"/>
      <c r="J41" s="15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13"/>
      <c r="Y41" s="13"/>
      <c r="Z41" s="13"/>
    </row>
    <row r="42" spans="1:26" ht="15.75" customHeight="1" x14ac:dyDescent="0.4">
      <c r="A42" s="36"/>
      <c r="B42" s="52"/>
      <c r="C42" s="52"/>
      <c r="D42" s="36"/>
      <c r="E42" s="21" t="s">
        <v>83</v>
      </c>
      <c r="F42" s="15">
        <v>5</v>
      </c>
      <c r="G42" s="15"/>
      <c r="H42" s="15"/>
      <c r="I42" s="15"/>
      <c r="J42" s="15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13"/>
      <c r="Y42" s="13"/>
      <c r="Z42" s="13"/>
    </row>
    <row r="43" spans="1:26" ht="15.75" customHeight="1" x14ac:dyDescent="0.4">
      <c r="A43" s="50"/>
      <c r="B43" s="53"/>
      <c r="C43" s="53"/>
      <c r="D43" s="37"/>
      <c r="E43" s="21" t="s">
        <v>84</v>
      </c>
      <c r="F43" s="15">
        <v>5</v>
      </c>
      <c r="G43" s="15"/>
      <c r="H43" s="15"/>
      <c r="I43" s="15"/>
      <c r="J43" s="15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6"/>
      <c r="X43" s="13"/>
      <c r="Y43" s="13"/>
      <c r="Z43" s="13"/>
    </row>
    <row r="44" spans="1:26" ht="15.75" customHeight="1" x14ac:dyDescent="0.4">
      <c r="A44" s="46" t="s">
        <v>85</v>
      </c>
      <c r="B44" s="51" t="s">
        <v>86</v>
      </c>
      <c r="C44" s="46">
        <v>5</v>
      </c>
      <c r="D44" s="46">
        <v>5</v>
      </c>
      <c r="E44" s="21" t="s">
        <v>27</v>
      </c>
      <c r="F44" s="15">
        <v>15</v>
      </c>
      <c r="G44" s="15"/>
      <c r="H44" s="15"/>
      <c r="I44" s="15"/>
      <c r="J44" s="15"/>
      <c r="K44" s="48">
        <f>SUM(F44:J49)</f>
        <v>40</v>
      </c>
      <c r="L44" s="48">
        <f>D44*K44</f>
        <v>200</v>
      </c>
      <c r="M44" s="48">
        <f>0.77*K44</f>
        <v>30.8</v>
      </c>
      <c r="N44" s="48">
        <v>32.299999999999997</v>
      </c>
      <c r="O44" s="48" t="s">
        <v>66</v>
      </c>
      <c r="P44" s="48">
        <f>M44*D44</f>
        <v>154</v>
      </c>
      <c r="Q44" s="48">
        <f>N44*D44</f>
        <v>161.5</v>
      </c>
      <c r="R44" s="49">
        <f>0.55*0.36*0.92*D44</f>
        <v>0.91080000000000005</v>
      </c>
      <c r="S44" s="45">
        <v>9.43</v>
      </c>
      <c r="T44" s="45">
        <f>S44*L44</f>
        <v>1886</v>
      </c>
      <c r="U44" s="46" t="s">
        <v>87</v>
      </c>
      <c r="V44" s="46" t="s">
        <v>68</v>
      </c>
      <c r="W44" s="36"/>
      <c r="X44" s="13"/>
      <c r="Y44" s="13"/>
      <c r="Z44" s="13"/>
    </row>
    <row r="45" spans="1:26" ht="15.75" customHeight="1" x14ac:dyDescent="0.4">
      <c r="A45" s="36"/>
      <c r="B45" s="52"/>
      <c r="C45" s="36"/>
      <c r="D45" s="36"/>
      <c r="E45" s="21" t="s">
        <v>32</v>
      </c>
      <c r="F45" s="15">
        <v>5</v>
      </c>
      <c r="G45" s="15"/>
      <c r="H45" s="15"/>
      <c r="I45" s="15"/>
      <c r="J45" s="15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13"/>
      <c r="Y45" s="13"/>
      <c r="Z45" s="13"/>
    </row>
    <row r="46" spans="1:26" ht="15.75" customHeight="1" x14ac:dyDescent="0.4">
      <c r="A46" s="36"/>
      <c r="B46" s="52"/>
      <c r="C46" s="36"/>
      <c r="D46" s="36"/>
      <c r="E46" s="21" t="s">
        <v>69</v>
      </c>
      <c r="F46" s="15">
        <v>5</v>
      </c>
      <c r="G46" s="15"/>
      <c r="H46" s="15"/>
      <c r="I46" s="15"/>
      <c r="J46" s="15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13"/>
      <c r="Y46" s="13"/>
      <c r="Z46" s="13"/>
    </row>
    <row r="47" spans="1:26" ht="15.75" customHeight="1" x14ac:dyDescent="0.4">
      <c r="A47" s="36"/>
      <c r="B47" s="52"/>
      <c r="C47" s="36"/>
      <c r="D47" s="36"/>
      <c r="E47" s="21" t="s">
        <v>71</v>
      </c>
      <c r="F47" s="15">
        <v>5</v>
      </c>
      <c r="G47" s="15"/>
      <c r="H47" s="15"/>
      <c r="I47" s="15"/>
      <c r="J47" s="15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13"/>
      <c r="Y47" s="13"/>
      <c r="Z47" s="13"/>
    </row>
    <row r="48" spans="1:26" ht="15.75" customHeight="1" x14ac:dyDescent="0.4">
      <c r="A48" s="36"/>
      <c r="B48" s="52"/>
      <c r="C48" s="36"/>
      <c r="D48" s="36"/>
      <c r="E48" s="21" t="s">
        <v>88</v>
      </c>
      <c r="F48" s="15">
        <v>5</v>
      </c>
      <c r="G48" s="15"/>
      <c r="H48" s="15"/>
      <c r="I48" s="15"/>
      <c r="J48" s="15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13"/>
      <c r="Y48" s="13"/>
      <c r="Z48" s="13"/>
    </row>
    <row r="49" spans="1:26" ht="15.75" customHeight="1" x14ac:dyDescent="0.4">
      <c r="A49" s="50"/>
      <c r="B49" s="53"/>
      <c r="C49" s="37"/>
      <c r="D49" s="37"/>
      <c r="E49" s="21" t="s">
        <v>89</v>
      </c>
      <c r="F49" s="15">
        <v>5</v>
      </c>
      <c r="G49" s="15"/>
      <c r="H49" s="15"/>
      <c r="I49" s="15"/>
      <c r="J49" s="15"/>
      <c r="K49" s="37"/>
      <c r="L49" s="37"/>
      <c r="M49" s="37"/>
      <c r="N49" s="37"/>
      <c r="O49" s="50"/>
      <c r="P49" s="37"/>
      <c r="Q49" s="37"/>
      <c r="R49" s="37"/>
      <c r="S49" s="37"/>
      <c r="T49" s="37"/>
      <c r="U49" s="37"/>
      <c r="V49" s="37"/>
      <c r="W49" s="36"/>
      <c r="X49" s="13"/>
      <c r="Y49" s="13"/>
      <c r="Z49" s="13"/>
    </row>
    <row r="50" spans="1:26" ht="15.75" customHeight="1" x14ac:dyDescent="0.4">
      <c r="A50" s="46" t="s">
        <v>90</v>
      </c>
      <c r="B50" s="51" t="s">
        <v>65</v>
      </c>
      <c r="C50" s="46">
        <v>3</v>
      </c>
      <c r="D50" s="46">
        <v>3</v>
      </c>
      <c r="E50" s="21" t="s">
        <v>27</v>
      </c>
      <c r="F50" s="15">
        <v>15</v>
      </c>
      <c r="G50" s="15"/>
      <c r="H50" s="15"/>
      <c r="I50" s="15"/>
      <c r="J50" s="15"/>
      <c r="K50" s="48">
        <f>SUM(F50:J54)</f>
        <v>35</v>
      </c>
      <c r="L50" s="48">
        <f>D50*K50</f>
        <v>105</v>
      </c>
      <c r="M50" s="48">
        <f>0.84*K50</f>
        <v>29.4</v>
      </c>
      <c r="N50" s="48">
        <v>30.9</v>
      </c>
      <c r="O50" s="48" t="s">
        <v>91</v>
      </c>
      <c r="P50" s="48">
        <f>M50*D50</f>
        <v>88.199999999999989</v>
      </c>
      <c r="Q50" s="48">
        <f>N50*D50</f>
        <v>92.699999999999989</v>
      </c>
      <c r="R50" s="57">
        <f>0.57*0.38*0.86*D50</f>
        <v>0.55882799999999999</v>
      </c>
      <c r="S50" s="45">
        <v>9.1300000000000008</v>
      </c>
      <c r="T50" s="45">
        <f>S50*L50</f>
        <v>958.65000000000009</v>
      </c>
      <c r="U50" s="46" t="s">
        <v>92</v>
      </c>
      <c r="V50" s="46" t="s">
        <v>68</v>
      </c>
      <c r="W50" s="36"/>
      <c r="X50" s="13"/>
      <c r="Y50" s="13"/>
      <c r="Z50" s="13"/>
    </row>
    <row r="51" spans="1:26" ht="15.75" customHeight="1" x14ac:dyDescent="0.4">
      <c r="A51" s="36"/>
      <c r="B51" s="52"/>
      <c r="C51" s="36"/>
      <c r="D51" s="36"/>
      <c r="E51" s="21" t="s">
        <v>32</v>
      </c>
      <c r="F51" s="15">
        <v>5</v>
      </c>
      <c r="G51" s="15"/>
      <c r="H51" s="15"/>
      <c r="I51" s="15"/>
      <c r="J51" s="15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13"/>
      <c r="Y51" s="13"/>
      <c r="Z51" s="13"/>
    </row>
    <row r="52" spans="1:26" ht="15.75" customHeight="1" x14ac:dyDescent="0.4">
      <c r="A52" s="36"/>
      <c r="B52" s="52"/>
      <c r="C52" s="36"/>
      <c r="D52" s="36"/>
      <c r="E52" s="21" t="s">
        <v>69</v>
      </c>
      <c r="F52" s="15">
        <v>5</v>
      </c>
      <c r="G52" s="15"/>
      <c r="H52" s="15"/>
      <c r="I52" s="15"/>
      <c r="J52" s="15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13"/>
      <c r="Y52" s="13"/>
      <c r="Z52" s="13"/>
    </row>
    <row r="53" spans="1:26" ht="15.75" customHeight="1" x14ac:dyDescent="0.4">
      <c r="A53" s="36"/>
      <c r="B53" s="52"/>
      <c r="C53" s="36"/>
      <c r="D53" s="36"/>
      <c r="E53" s="21" t="s">
        <v>71</v>
      </c>
      <c r="F53" s="15">
        <v>5</v>
      </c>
      <c r="G53" s="15"/>
      <c r="H53" s="15"/>
      <c r="I53" s="15"/>
      <c r="J53" s="15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13"/>
      <c r="Y53" s="13"/>
      <c r="Z53" s="13"/>
    </row>
    <row r="54" spans="1:26" ht="15.75" customHeight="1" x14ac:dyDescent="0.4">
      <c r="A54" s="50"/>
      <c r="B54" s="53"/>
      <c r="C54" s="37"/>
      <c r="D54" s="37"/>
      <c r="E54" s="21" t="s">
        <v>52</v>
      </c>
      <c r="F54" s="15">
        <v>5</v>
      </c>
      <c r="G54" s="15"/>
      <c r="H54" s="15"/>
      <c r="I54" s="15"/>
      <c r="J54" s="15"/>
      <c r="K54" s="37"/>
      <c r="L54" s="37"/>
      <c r="M54" s="37"/>
      <c r="N54" s="37"/>
      <c r="O54" s="50"/>
      <c r="P54" s="37"/>
      <c r="Q54" s="37"/>
      <c r="R54" s="37"/>
      <c r="S54" s="37"/>
      <c r="T54" s="37"/>
      <c r="U54" s="37"/>
      <c r="V54" s="37"/>
      <c r="W54" s="36"/>
      <c r="X54" s="13"/>
      <c r="Y54" s="13"/>
      <c r="Z54" s="13"/>
    </row>
    <row r="55" spans="1:26" ht="15.75" customHeight="1" x14ac:dyDescent="0.4">
      <c r="A55" s="46" t="s">
        <v>93</v>
      </c>
      <c r="B55" s="51" t="s">
        <v>86</v>
      </c>
      <c r="C55" s="46">
        <v>5</v>
      </c>
      <c r="D55" s="46">
        <v>5</v>
      </c>
      <c r="E55" s="21" t="s">
        <v>38</v>
      </c>
      <c r="F55" s="15">
        <v>16</v>
      </c>
      <c r="G55" s="15"/>
      <c r="H55" s="15"/>
      <c r="I55" s="15"/>
      <c r="J55" s="15"/>
      <c r="K55" s="48">
        <f>SUM(F55:J58)</f>
        <v>40</v>
      </c>
      <c r="L55" s="48">
        <f>D55*K55</f>
        <v>200</v>
      </c>
      <c r="M55" s="48">
        <f>1.1*K55</f>
        <v>44</v>
      </c>
      <c r="N55" s="48">
        <v>45.5</v>
      </c>
      <c r="O55" s="48" t="s">
        <v>66</v>
      </c>
      <c r="P55" s="48">
        <f>M55*D55</f>
        <v>220</v>
      </c>
      <c r="Q55" s="48">
        <f>N55*D55</f>
        <v>227.5</v>
      </c>
      <c r="R55" s="49">
        <f>0.55*0.36*0.92*D55</f>
        <v>0.91080000000000005</v>
      </c>
      <c r="S55" s="45">
        <v>10.19</v>
      </c>
      <c r="T55" s="45">
        <f>S55*L55</f>
        <v>2038</v>
      </c>
      <c r="U55" s="46" t="s">
        <v>87</v>
      </c>
      <c r="V55" s="46" t="s">
        <v>68</v>
      </c>
      <c r="W55" s="36"/>
      <c r="X55" s="13"/>
      <c r="Y55" s="13"/>
      <c r="Z55" s="13"/>
    </row>
    <row r="56" spans="1:26" ht="15.75" customHeight="1" x14ac:dyDescent="0.4">
      <c r="A56" s="36"/>
      <c r="B56" s="52"/>
      <c r="C56" s="36"/>
      <c r="D56" s="36"/>
      <c r="E56" s="21" t="s">
        <v>94</v>
      </c>
      <c r="F56" s="15">
        <v>8</v>
      </c>
      <c r="G56" s="15"/>
      <c r="H56" s="15"/>
      <c r="I56" s="15"/>
      <c r="J56" s="15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13"/>
      <c r="Y56" s="13"/>
      <c r="Z56" s="13"/>
    </row>
    <row r="57" spans="1:26" ht="15.75" customHeight="1" x14ac:dyDescent="0.4">
      <c r="A57" s="36"/>
      <c r="B57" s="52"/>
      <c r="C57" s="36"/>
      <c r="D57" s="36"/>
      <c r="E57" s="21" t="s">
        <v>95</v>
      </c>
      <c r="F57" s="15">
        <v>8</v>
      </c>
      <c r="G57" s="15"/>
      <c r="H57" s="15"/>
      <c r="I57" s="15"/>
      <c r="J57" s="15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13"/>
      <c r="Y57" s="13"/>
      <c r="Z57" s="13"/>
    </row>
    <row r="58" spans="1:26" ht="15.75" customHeight="1" x14ac:dyDescent="0.4">
      <c r="A58" s="50"/>
      <c r="B58" s="53"/>
      <c r="C58" s="37"/>
      <c r="D58" s="37"/>
      <c r="E58" s="21" t="s">
        <v>96</v>
      </c>
      <c r="F58" s="15">
        <v>8</v>
      </c>
      <c r="G58" s="15"/>
      <c r="H58" s="15"/>
      <c r="I58" s="15"/>
      <c r="J58" s="15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6"/>
      <c r="X58" s="13"/>
      <c r="Y58" s="13"/>
      <c r="Z58" s="13"/>
    </row>
    <row r="59" spans="1:26" ht="15.75" customHeight="1" x14ac:dyDescent="0.4">
      <c r="A59" s="46" t="s">
        <v>97</v>
      </c>
      <c r="B59" s="51" t="s">
        <v>73</v>
      </c>
      <c r="C59" s="51">
        <v>7</v>
      </c>
      <c r="D59" s="46">
        <v>7</v>
      </c>
      <c r="E59" s="21" t="s">
        <v>27</v>
      </c>
      <c r="F59" s="15">
        <v>15</v>
      </c>
      <c r="G59" s="15"/>
      <c r="H59" s="15"/>
      <c r="I59" s="15"/>
      <c r="J59" s="15"/>
      <c r="K59" s="48">
        <f>SUM(F59:J62)</f>
        <v>30</v>
      </c>
      <c r="L59" s="48">
        <f>D59*K59</f>
        <v>210</v>
      </c>
      <c r="M59" s="48">
        <f>1*K59</f>
        <v>30</v>
      </c>
      <c r="N59" s="48">
        <v>31.5</v>
      </c>
      <c r="O59" s="48" t="s">
        <v>79</v>
      </c>
      <c r="P59" s="48">
        <f>M59*D59</f>
        <v>210</v>
      </c>
      <c r="Q59" s="48">
        <f>N59*D59</f>
        <v>220.5</v>
      </c>
      <c r="R59" s="49">
        <f>0.57*0.38*0.76*D59</f>
        <v>1.1523119999999998</v>
      </c>
      <c r="S59" s="45">
        <v>10.19</v>
      </c>
      <c r="T59" s="45">
        <f>S59*L59</f>
        <v>2139.9</v>
      </c>
      <c r="U59" s="46" t="s">
        <v>87</v>
      </c>
      <c r="V59" s="46" t="s">
        <v>68</v>
      </c>
      <c r="W59" s="36"/>
      <c r="X59" s="13"/>
      <c r="Y59" s="13"/>
      <c r="Z59" s="13"/>
    </row>
    <row r="60" spans="1:26" ht="15.75" customHeight="1" x14ac:dyDescent="0.4">
      <c r="A60" s="36"/>
      <c r="B60" s="52"/>
      <c r="C60" s="52"/>
      <c r="D60" s="36"/>
      <c r="E60" s="21" t="s">
        <v>71</v>
      </c>
      <c r="F60" s="15">
        <v>5</v>
      </c>
      <c r="G60" s="15"/>
      <c r="H60" s="15"/>
      <c r="I60" s="15"/>
      <c r="J60" s="15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13"/>
      <c r="Y60" s="13"/>
      <c r="Z60" s="13"/>
    </row>
    <row r="61" spans="1:26" ht="15.75" customHeight="1" x14ac:dyDescent="0.4">
      <c r="A61" s="36"/>
      <c r="B61" s="52"/>
      <c r="C61" s="52"/>
      <c r="D61" s="36"/>
      <c r="E61" s="21" t="s">
        <v>77</v>
      </c>
      <c r="F61" s="15">
        <v>5</v>
      </c>
      <c r="G61" s="15"/>
      <c r="H61" s="15"/>
      <c r="I61" s="15"/>
      <c r="J61" s="15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13"/>
      <c r="Y61" s="13"/>
      <c r="Z61" s="13"/>
    </row>
    <row r="62" spans="1:26" ht="15.75" customHeight="1" x14ac:dyDescent="0.4">
      <c r="A62" s="50"/>
      <c r="B62" s="53"/>
      <c r="C62" s="53"/>
      <c r="D62" s="37"/>
      <c r="E62" s="21" t="s">
        <v>32</v>
      </c>
      <c r="F62" s="15">
        <v>5</v>
      </c>
      <c r="G62" s="15"/>
      <c r="H62" s="15"/>
      <c r="I62" s="15"/>
      <c r="J62" s="15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6"/>
      <c r="X62" s="13"/>
      <c r="Y62" s="13"/>
      <c r="Z62" s="13"/>
    </row>
    <row r="63" spans="1:26" ht="18.75" customHeight="1" x14ac:dyDescent="0.35">
      <c r="A63" s="48" t="s">
        <v>98</v>
      </c>
      <c r="B63" s="55" t="s">
        <v>99</v>
      </c>
      <c r="C63" s="56">
        <v>67</v>
      </c>
      <c r="D63" s="56">
        <v>67</v>
      </c>
      <c r="E63" s="16" t="s">
        <v>100</v>
      </c>
      <c r="F63" s="17">
        <v>3</v>
      </c>
      <c r="G63" s="17">
        <v>3</v>
      </c>
      <c r="H63" s="17">
        <v>3</v>
      </c>
      <c r="I63" s="17">
        <v>3</v>
      </c>
      <c r="J63" s="17">
        <v>3</v>
      </c>
      <c r="K63" s="48">
        <v>45</v>
      </c>
      <c r="L63" s="48">
        <f>D63*K63</f>
        <v>3015</v>
      </c>
      <c r="M63" s="48">
        <v>20.34</v>
      </c>
      <c r="N63" s="48">
        <v>21.34</v>
      </c>
      <c r="O63" s="48" t="s">
        <v>101</v>
      </c>
      <c r="P63" s="48">
        <f>M63*C63</f>
        <v>1362.78</v>
      </c>
      <c r="Q63" s="48">
        <f>N63*C63</f>
        <v>1429.78</v>
      </c>
      <c r="R63" s="49">
        <f>0.57*0.38*0.38*C63</f>
        <v>5.5146359999999994</v>
      </c>
      <c r="S63" s="59">
        <v>6.2</v>
      </c>
      <c r="T63" s="59">
        <f>S63*L63</f>
        <v>18693</v>
      </c>
      <c r="U63" s="60" t="s">
        <v>35</v>
      </c>
      <c r="V63" s="60" t="s">
        <v>102</v>
      </c>
      <c r="W63" s="36"/>
      <c r="X63" s="24"/>
      <c r="Y63" s="24"/>
      <c r="Z63" s="24"/>
    </row>
    <row r="64" spans="1:26" ht="18.75" customHeight="1" x14ac:dyDescent="0.35">
      <c r="A64" s="36"/>
      <c r="B64" s="36"/>
      <c r="C64" s="36"/>
      <c r="D64" s="36"/>
      <c r="E64" s="16" t="s">
        <v>103</v>
      </c>
      <c r="F64" s="17">
        <v>2</v>
      </c>
      <c r="G64" s="17">
        <v>2</v>
      </c>
      <c r="H64" s="17">
        <v>2</v>
      </c>
      <c r="I64" s="17">
        <v>2</v>
      </c>
      <c r="J64" s="17">
        <v>2</v>
      </c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24"/>
      <c r="Y64" s="24"/>
      <c r="Z64" s="24"/>
    </row>
    <row r="65" spans="1:26" ht="18.75" customHeight="1" x14ac:dyDescent="0.35">
      <c r="A65" s="36"/>
      <c r="B65" s="36"/>
      <c r="C65" s="36"/>
      <c r="D65" s="36"/>
      <c r="E65" s="16" t="s">
        <v>104</v>
      </c>
      <c r="F65" s="17">
        <v>1</v>
      </c>
      <c r="G65" s="17">
        <v>1</v>
      </c>
      <c r="H65" s="17">
        <v>1</v>
      </c>
      <c r="I65" s="17">
        <v>1</v>
      </c>
      <c r="J65" s="17">
        <v>1</v>
      </c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24"/>
      <c r="Y65" s="24"/>
      <c r="Z65" s="24"/>
    </row>
    <row r="66" spans="1:26" ht="18.75" customHeight="1" x14ac:dyDescent="0.35">
      <c r="A66" s="36"/>
      <c r="B66" s="36"/>
      <c r="C66" s="36"/>
      <c r="D66" s="36"/>
      <c r="E66" s="16" t="s">
        <v>105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24"/>
      <c r="Y66" s="24"/>
      <c r="Z66" s="24"/>
    </row>
    <row r="67" spans="1:26" ht="18.75" customHeight="1" x14ac:dyDescent="0.35">
      <c r="A67" s="36"/>
      <c r="B67" s="36"/>
      <c r="C67" s="36"/>
      <c r="D67" s="36"/>
      <c r="E67" s="16" t="s">
        <v>106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24"/>
      <c r="Y67" s="24"/>
      <c r="Z67" s="24"/>
    </row>
    <row r="68" spans="1:26" ht="18.75" customHeight="1" x14ac:dyDescent="0.35">
      <c r="A68" s="37"/>
      <c r="B68" s="37"/>
      <c r="C68" s="37"/>
      <c r="D68" s="37"/>
      <c r="E68" s="16" t="s">
        <v>107</v>
      </c>
      <c r="F68" s="17">
        <v>1</v>
      </c>
      <c r="G68" s="17">
        <v>1</v>
      </c>
      <c r="H68" s="17">
        <v>1</v>
      </c>
      <c r="I68" s="17">
        <v>1</v>
      </c>
      <c r="J68" s="17">
        <v>1</v>
      </c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6"/>
      <c r="X68" s="24"/>
      <c r="Y68" s="24"/>
      <c r="Z68" s="24"/>
    </row>
    <row r="69" spans="1:26" ht="15.75" customHeight="1" x14ac:dyDescent="0.4">
      <c r="A69" s="46">
        <v>5621</v>
      </c>
      <c r="B69" s="46" t="s">
        <v>108</v>
      </c>
      <c r="C69" s="46">
        <v>10</v>
      </c>
      <c r="D69" s="46">
        <v>10</v>
      </c>
      <c r="E69" s="21" t="s">
        <v>27</v>
      </c>
      <c r="F69" s="15">
        <v>3</v>
      </c>
      <c r="G69" s="15">
        <v>3</v>
      </c>
      <c r="H69" s="15">
        <v>3</v>
      </c>
      <c r="I69" s="15">
        <v>3</v>
      </c>
      <c r="J69" s="15"/>
      <c r="K69" s="48">
        <f>SUM(F69:J72)</f>
        <v>72</v>
      </c>
      <c r="L69" s="48">
        <f>D69*K69</f>
        <v>720</v>
      </c>
      <c r="M69" s="48">
        <v>46.3</v>
      </c>
      <c r="N69" s="48">
        <v>46.8</v>
      </c>
      <c r="O69" s="48" t="s">
        <v>109</v>
      </c>
      <c r="P69" s="48">
        <f>M69*D69</f>
        <v>463</v>
      </c>
      <c r="Q69" s="48">
        <f>N69*D69</f>
        <v>468</v>
      </c>
      <c r="R69" s="49">
        <f>0.8*0.4*0.4*D69</f>
        <v>1.2800000000000002</v>
      </c>
      <c r="S69" s="45">
        <v>8.5500000000000007</v>
      </c>
      <c r="T69" s="45">
        <f>S69*L69</f>
        <v>6156.0000000000009</v>
      </c>
      <c r="U69" s="46" t="s">
        <v>35</v>
      </c>
      <c r="V69" s="48" t="s">
        <v>110</v>
      </c>
      <c r="W69" s="36"/>
      <c r="X69" s="13"/>
      <c r="Y69" s="13"/>
      <c r="Z69" s="13"/>
    </row>
    <row r="70" spans="1:26" ht="15.75" customHeight="1" x14ac:dyDescent="0.4">
      <c r="A70" s="36"/>
      <c r="B70" s="36"/>
      <c r="C70" s="36"/>
      <c r="D70" s="36"/>
      <c r="E70" s="21" t="s">
        <v>111</v>
      </c>
      <c r="F70" s="15">
        <v>6</v>
      </c>
      <c r="G70" s="15">
        <v>6</v>
      </c>
      <c r="H70" s="15">
        <v>6</v>
      </c>
      <c r="I70" s="15">
        <v>6</v>
      </c>
      <c r="J70" s="15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13"/>
      <c r="Y70" s="13"/>
      <c r="Z70" s="13"/>
    </row>
    <row r="71" spans="1:26" ht="15.75" customHeight="1" x14ac:dyDescent="0.4">
      <c r="A71" s="36"/>
      <c r="B71" s="36"/>
      <c r="C71" s="36"/>
      <c r="D71" s="36"/>
      <c r="E71" s="21" t="s">
        <v>112</v>
      </c>
      <c r="F71" s="15">
        <v>6</v>
      </c>
      <c r="G71" s="15">
        <v>6</v>
      </c>
      <c r="H71" s="15">
        <v>6</v>
      </c>
      <c r="I71" s="15">
        <v>6</v>
      </c>
      <c r="J71" s="15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13"/>
      <c r="Y71" s="13"/>
      <c r="Z71" s="13"/>
    </row>
    <row r="72" spans="1:26" ht="15.75" customHeight="1" x14ac:dyDescent="0.4">
      <c r="A72" s="37"/>
      <c r="B72" s="37"/>
      <c r="C72" s="37"/>
      <c r="D72" s="37"/>
      <c r="E72" s="21" t="s">
        <v>113</v>
      </c>
      <c r="F72" s="15">
        <v>3</v>
      </c>
      <c r="G72" s="15">
        <v>3</v>
      </c>
      <c r="H72" s="15">
        <v>3</v>
      </c>
      <c r="I72" s="15">
        <v>3</v>
      </c>
      <c r="J72" s="15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6"/>
      <c r="X72" s="13"/>
      <c r="Y72" s="13"/>
      <c r="Z72" s="13"/>
    </row>
    <row r="73" spans="1:26" ht="15.75" customHeight="1" x14ac:dyDescent="0.4">
      <c r="A73" s="43" t="s">
        <v>98</v>
      </c>
      <c r="B73" s="43" t="s">
        <v>114</v>
      </c>
      <c r="C73" s="43">
        <v>22</v>
      </c>
      <c r="D73" s="43">
        <v>21</v>
      </c>
      <c r="E73" s="21" t="s">
        <v>115</v>
      </c>
      <c r="F73" s="15">
        <v>6</v>
      </c>
      <c r="G73" s="15">
        <v>6</v>
      </c>
      <c r="H73" s="15">
        <v>6</v>
      </c>
      <c r="I73" s="15">
        <v>6</v>
      </c>
      <c r="J73" s="15">
        <v>6</v>
      </c>
      <c r="K73" s="41">
        <f>SUM(F73:J78)</f>
        <v>90</v>
      </c>
      <c r="L73" s="41">
        <f>D73*K73</f>
        <v>1890</v>
      </c>
      <c r="M73" s="41">
        <v>41.5</v>
      </c>
      <c r="N73" s="41">
        <v>42</v>
      </c>
      <c r="O73" s="41" t="s">
        <v>109</v>
      </c>
      <c r="P73" s="41">
        <f>M73*D73</f>
        <v>871.5</v>
      </c>
      <c r="Q73" s="41">
        <f>N73*D73</f>
        <v>882</v>
      </c>
      <c r="R73" s="42">
        <f>0.8*0.4*0.4*D73</f>
        <v>2.6880000000000006</v>
      </c>
      <c r="S73" s="45">
        <v>6.2</v>
      </c>
      <c r="T73" s="45">
        <f>S73*(L73+L79)</f>
        <v>12555</v>
      </c>
      <c r="U73" s="43" t="s">
        <v>35</v>
      </c>
      <c r="V73" s="41" t="s">
        <v>102</v>
      </c>
      <c r="W73" s="36"/>
      <c r="X73" s="13"/>
      <c r="Y73" s="13"/>
      <c r="Z73" s="13"/>
    </row>
    <row r="74" spans="1:26" ht="15.75" customHeight="1" x14ac:dyDescent="0.4">
      <c r="A74" s="36"/>
      <c r="B74" s="36"/>
      <c r="C74" s="36"/>
      <c r="D74" s="36"/>
      <c r="E74" s="21" t="s">
        <v>103</v>
      </c>
      <c r="F74" s="15">
        <v>4</v>
      </c>
      <c r="G74" s="15">
        <v>4</v>
      </c>
      <c r="H74" s="15">
        <v>4</v>
      </c>
      <c r="I74" s="15">
        <v>4</v>
      </c>
      <c r="J74" s="15">
        <v>4</v>
      </c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13"/>
      <c r="Y74" s="13"/>
      <c r="Z74" s="13"/>
    </row>
    <row r="75" spans="1:26" ht="15.75" customHeight="1" x14ac:dyDescent="0.4">
      <c r="A75" s="36"/>
      <c r="B75" s="36"/>
      <c r="C75" s="36"/>
      <c r="D75" s="36"/>
      <c r="E75" s="21" t="s">
        <v>41</v>
      </c>
      <c r="F75" s="4">
        <v>2</v>
      </c>
      <c r="G75" s="4">
        <v>2</v>
      </c>
      <c r="H75" s="4">
        <v>2</v>
      </c>
      <c r="I75" s="4">
        <v>2</v>
      </c>
      <c r="J75" s="4">
        <v>2</v>
      </c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1"/>
      <c r="Y75" s="1"/>
      <c r="Z75" s="1"/>
    </row>
    <row r="76" spans="1:26" ht="15.75" customHeight="1" x14ac:dyDescent="0.4">
      <c r="A76" s="36"/>
      <c r="B76" s="36"/>
      <c r="C76" s="36"/>
      <c r="D76" s="36"/>
      <c r="E76" s="21" t="s">
        <v>105</v>
      </c>
      <c r="F76" s="4">
        <v>2</v>
      </c>
      <c r="G76" s="4">
        <v>2</v>
      </c>
      <c r="H76" s="4">
        <v>2</v>
      </c>
      <c r="I76" s="4">
        <v>2</v>
      </c>
      <c r="J76" s="4">
        <v>2</v>
      </c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1"/>
      <c r="Y76" s="1"/>
      <c r="Z76" s="1"/>
    </row>
    <row r="77" spans="1:26" ht="15.75" customHeight="1" x14ac:dyDescent="0.4">
      <c r="A77" s="36"/>
      <c r="B77" s="36"/>
      <c r="C77" s="36"/>
      <c r="D77" s="36"/>
      <c r="E77" s="21" t="s">
        <v>116</v>
      </c>
      <c r="F77" s="4">
        <v>2</v>
      </c>
      <c r="G77" s="4">
        <v>2</v>
      </c>
      <c r="H77" s="4">
        <v>2</v>
      </c>
      <c r="I77" s="4">
        <v>2</v>
      </c>
      <c r="J77" s="4">
        <v>2</v>
      </c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1"/>
      <c r="Y77" s="1"/>
      <c r="Z77" s="1"/>
    </row>
    <row r="78" spans="1:26" ht="15.75" customHeight="1" x14ac:dyDescent="0.4">
      <c r="A78" s="36"/>
      <c r="B78" s="37"/>
      <c r="C78" s="36"/>
      <c r="D78" s="37"/>
      <c r="E78" s="21" t="s">
        <v>107</v>
      </c>
      <c r="F78" s="4">
        <v>2</v>
      </c>
      <c r="G78" s="4">
        <v>2</v>
      </c>
      <c r="H78" s="4">
        <v>2</v>
      </c>
      <c r="I78" s="4">
        <v>2</v>
      </c>
      <c r="J78" s="4">
        <v>2</v>
      </c>
      <c r="K78" s="37"/>
      <c r="L78" s="37"/>
      <c r="M78" s="37"/>
      <c r="N78" s="37"/>
      <c r="O78" s="37"/>
      <c r="P78" s="37"/>
      <c r="Q78" s="37"/>
      <c r="R78" s="37"/>
      <c r="S78" s="36"/>
      <c r="T78" s="36"/>
      <c r="U78" s="36"/>
      <c r="V78" s="36"/>
      <c r="W78" s="36"/>
      <c r="X78" s="1"/>
      <c r="Y78" s="1"/>
      <c r="Z78" s="1"/>
    </row>
    <row r="79" spans="1:26" ht="15.75" customHeight="1" x14ac:dyDescent="0.4">
      <c r="A79" s="36"/>
      <c r="B79" s="43">
        <v>22</v>
      </c>
      <c r="C79" s="36"/>
      <c r="D79" s="43">
        <v>1</v>
      </c>
      <c r="E79" s="21" t="s">
        <v>115</v>
      </c>
      <c r="F79" s="4">
        <v>9</v>
      </c>
      <c r="G79" s="4">
        <v>9</v>
      </c>
      <c r="H79" s="4">
        <v>9</v>
      </c>
      <c r="I79" s="4">
        <v>9</v>
      </c>
      <c r="J79" s="4">
        <v>9</v>
      </c>
      <c r="K79" s="41">
        <f>SUM(F79:J84)</f>
        <v>135</v>
      </c>
      <c r="L79" s="41">
        <f>D79*K79</f>
        <v>135</v>
      </c>
      <c r="M79" s="41">
        <v>62</v>
      </c>
      <c r="N79" s="41">
        <v>62.5</v>
      </c>
      <c r="O79" s="41" t="s">
        <v>109</v>
      </c>
      <c r="P79" s="41">
        <f>M79*D79</f>
        <v>62</v>
      </c>
      <c r="Q79" s="41">
        <f>N79*D79</f>
        <v>62.5</v>
      </c>
      <c r="R79" s="42">
        <f>0.8*0.4*0.4*D79</f>
        <v>0.12800000000000003</v>
      </c>
      <c r="S79" s="36"/>
      <c r="T79" s="36"/>
      <c r="U79" s="36"/>
      <c r="V79" s="36"/>
      <c r="W79" s="36"/>
      <c r="X79" s="1"/>
      <c r="Y79" s="1"/>
      <c r="Z79" s="1"/>
    </row>
    <row r="80" spans="1:26" ht="15.75" customHeight="1" x14ac:dyDescent="0.4">
      <c r="A80" s="36"/>
      <c r="B80" s="36"/>
      <c r="C80" s="36"/>
      <c r="D80" s="36"/>
      <c r="E80" s="21" t="s">
        <v>103</v>
      </c>
      <c r="F80" s="4">
        <v>6</v>
      </c>
      <c r="G80" s="4">
        <v>6</v>
      </c>
      <c r="H80" s="4">
        <v>6</v>
      </c>
      <c r="I80" s="4">
        <v>6</v>
      </c>
      <c r="J80" s="4">
        <v>6</v>
      </c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1"/>
      <c r="Y80" s="1"/>
      <c r="Z80" s="1"/>
    </row>
    <row r="81" spans="1:26" ht="15.75" customHeight="1" x14ac:dyDescent="0.4">
      <c r="A81" s="36"/>
      <c r="B81" s="36"/>
      <c r="C81" s="36"/>
      <c r="D81" s="36"/>
      <c r="E81" s="21" t="s">
        <v>41</v>
      </c>
      <c r="F81" s="4">
        <v>3</v>
      </c>
      <c r="G81" s="4">
        <v>3</v>
      </c>
      <c r="H81" s="4">
        <v>3</v>
      </c>
      <c r="I81" s="4">
        <v>3</v>
      </c>
      <c r="J81" s="4">
        <v>3</v>
      </c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1"/>
      <c r="Y81" s="1"/>
      <c r="Z81" s="1"/>
    </row>
    <row r="82" spans="1:26" ht="15.75" customHeight="1" x14ac:dyDescent="0.4">
      <c r="A82" s="36"/>
      <c r="B82" s="36"/>
      <c r="C82" s="36"/>
      <c r="D82" s="36"/>
      <c r="E82" s="21" t="s">
        <v>105</v>
      </c>
      <c r="F82" s="4">
        <v>3</v>
      </c>
      <c r="G82" s="4">
        <v>3</v>
      </c>
      <c r="H82" s="4">
        <v>3</v>
      </c>
      <c r="I82" s="4">
        <v>3</v>
      </c>
      <c r="J82" s="4">
        <v>3</v>
      </c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1"/>
      <c r="Y82" s="1"/>
      <c r="Z82" s="1"/>
    </row>
    <row r="83" spans="1:26" ht="15.75" customHeight="1" x14ac:dyDescent="0.4">
      <c r="A83" s="36"/>
      <c r="B83" s="36"/>
      <c r="C83" s="36"/>
      <c r="D83" s="36"/>
      <c r="E83" s="21" t="s">
        <v>116</v>
      </c>
      <c r="F83" s="4">
        <v>3</v>
      </c>
      <c r="G83" s="4">
        <v>3</v>
      </c>
      <c r="H83" s="4">
        <v>3</v>
      </c>
      <c r="I83" s="4">
        <v>3</v>
      </c>
      <c r="J83" s="4">
        <v>3</v>
      </c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1"/>
      <c r="Y83" s="1"/>
      <c r="Z83" s="1"/>
    </row>
    <row r="84" spans="1:26" ht="15.75" customHeight="1" x14ac:dyDescent="0.4">
      <c r="A84" s="37"/>
      <c r="B84" s="37"/>
      <c r="C84" s="37"/>
      <c r="D84" s="37"/>
      <c r="E84" s="21" t="s">
        <v>107</v>
      </c>
      <c r="F84" s="4">
        <v>3</v>
      </c>
      <c r="G84" s="4">
        <v>3</v>
      </c>
      <c r="H84" s="4">
        <v>3</v>
      </c>
      <c r="I84" s="4">
        <v>3</v>
      </c>
      <c r="J84" s="4">
        <v>3</v>
      </c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6"/>
      <c r="X84" s="1"/>
      <c r="Y84" s="1"/>
      <c r="Z84" s="1"/>
    </row>
    <row r="85" spans="1:26" ht="15.75" customHeight="1" x14ac:dyDescent="0.35">
      <c r="A85" s="43" t="s">
        <v>117</v>
      </c>
      <c r="B85" s="43" t="s">
        <v>118</v>
      </c>
      <c r="C85" s="43">
        <v>19</v>
      </c>
      <c r="D85" s="43">
        <v>18</v>
      </c>
      <c r="E85" s="25" t="s">
        <v>115</v>
      </c>
      <c r="F85" s="17">
        <v>12</v>
      </c>
      <c r="G85" s="17">
        <v>12</v>
      </c>
      <c r="H85" s="17">
        <v>12</v>
      </c>
      <c r="I85" s="17">
        <v>12</v>
      </c>
      <c r="J85" s="17">
        <v>12</v>
      </c>
      <c r="K85" s="41">
        <f>SUM(F85:J88)</f>
        <v>105</v>
      </c>
      <c r="L85" s="41">
        <f>D85*K85</f>
        <v>1890</v>
      </c>
      <c r="M85" s="41">
        <v>52</v>
      </c>
      <c r="N85" s="41">
        <v>52.5</v>
      </c>
      <c r="O85" s="41" t="s">
        <v>119</v>
      </c>
      <c r="P85" s="41">
        <f>M85*D85</f>
        <v>936</v>
      </c>
      <c r="Q85" s="41">
        <f>N85*D85</f>
        <v>945</v>
      </c>
      <c r="R85" s="42">
        <f>0.9*0.5*0.4*D85</f>
        <v>3.24</v>
      </c>
      <c r="S85" s="45">
        <v>6.2</v>
      </c>
      <c r="T85" s="45">
        <f>S85*2017</f>
        <v>12505.4</v>
      </c>
      <c r="U85" s="43" t="s">
        <v>35</v>
      </c>
      <c r="V85" s="41" t="s">
        <v>102</v>
      </c>
      <c r="W85" s="36"/>
      <c r="X85" s="1"/>
      <c r="Y85" s="1"/>
      <c r="Z85" s="1"/>
    </row>
    <row r="86" spans="1:26" ht="15.75" customHeight="1" x14ac:dyDescent="0.35">
      <c r="A86" s="36"/>
      <c r="B86" s="36"/>
      <c r="C86" s="36"/>
      <c r="D86" s="36"/>
      <c r="E86" s="25" t="s">
        <v>120</v>
      </c>
      <c r="F86" s="17">
        <v>3</v>
      </c>
      <c r="G86" s="17">
        <v>3</v>
      </c>
      <c r="H86" s="17">
        <v>3</v>
      </c>
      <c r="I86" s="17">
        <v>3</v>
      </c>
      <c r="J86" s="17">
        <v>3</v>
      </c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1"/>
      <c r="Y86" s="1"/>
      <c r="Z86" s="1"/>
    </row>
    <row r="87" spans="1:26" ht="15.75" customHeight="1" x14ac:dyDescent="0.35">
      <c r="A87" s="36"/>
      <c r="B87" s="36"/>
      <c r="C87" s="36"/>
      <c r="D87" s="36"/>
      <c r="E87" s="26" t="s">
        <v>121</v>
      </c>
      <c r="F87" s="17">
        <v>3</v>
      </c>
      <c r="G87" s="17">
        <v>3</v>
      </c>
      <c r="H87" s="17">
        <v>3</v>
      </c>
      <c r="I87" s="17">
        <v>3</v>
      </c>
      <c r="J87" s="17">
        <v>3</v>
      </c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1"/>
      <c r="Y87" s="1"/>
      <c r="Z87" s="1"/>
    </row>
    <row r="88" spans="1:26" ht="15.75" customHeight="1" x14ac:dyDescent="0.35">
      <c r="A88" s="36"/>
      <c r="B88" s="37"/>
      <c r="C88" s="36"/>
      <c r="D88" s="37"/>
      <c r="E88" s="25" t="s">
        <v>41</v>
      </c>
      <c r="F88" s="17">
        <v>3</v>
      </c>
      <c r="G88" s="17">
        <v>3</v>
      </c>
      <c r="H88" s="17">
        <v>3</v>
      </c>
      <c r="I88" s="17">
        <v>3</v>
      </c>
      <c r="J88" s="17">
        <v>3</v>
      </c>
      <c r="K88" s="37"/>
      <c r="L88" s="37"/>
      <c r="M88" s="37"/>
      <c r="N88" s="37"/>
      <c r="O88" s="37"/>
      <c r="P88" s="37"/>
      <c r="Q88" s="37"/>
      <c r="R88" s="37"/>
      <c r="S88" s="36"/>
      <c r="T88" s="36"/>
      <c r="U88" s="36"/>
      <c r="V88" s="36"/>
      <c r="W88" s="36"/>
      <c r="X88" s="1"/>
      <c r="Y88" s="1"/>
      <c r="Z88" s="1"/>
    </row>
    <row r="89" spans="1:26" ht="15.75" customHeight="1" x14ac:dyDescent="0.35">
      <c r="A89" s="36"/>
      <c r="B89" s="43">
        <v>19</v>
      </c>
      <c r="C89" s="36"/>
      <c r="D89" s="43">
        <v>1</v>
      </c>
      <c r="E89" s="25" t="s">
        <v>115</v>
      </c>
      <c r="F89" s="17">
        <v>16</v>
      </c>
      <c r="G89" s="17">
        <v>16</v>
      </c>
      <c r="H89" s="17">
        <v>17</v>
      </c>
      <c r="I89" s="17">
        <v>17</v>
      </c>
      <c r="J89" s="17">
        <v>16</v>
      </c>
      <c r="K89" s="41">
        <f>SUM(F89:J92)</f>
        <v>127</v>
      </c>
      <c r="L89" s="41">
        <f>D89*K89</f>
        <v>127</v>
      </c>
      <c r="M89" s="41">
        <v>62.8</v>
      </c>
      <c r="N89" s="41">
        <v>63.3</v>
      </c>
      <c r="O89" s="41" t="s">
        <v>119</v>
      </c>
      <c r="P89" s="41">
        <f>M89*D89</f>
        <v>62.8</v>
      </c>
      <c r="Q89" s="41">
        <f>N89*D89</f>
        <v>63.3</v>
      </c>
      <c r="R89" s="42">
        <f>0.9*0.5*0.4*D89</f>
        <v>0.18000000000000002</v>
      </c>
      <c r="S89" s="36"/>
      <c r="T89" s="36"/>
      <c r="U89" s="36"/>
      <c r="V89" s="36"/>
      <c r="W89" s="36"/>
      <c r="X89" s="1"/>
      <c r="Y89" s="1"/>
      <c r="Z89" s="1"/>
    </row>
    <row r="90" spans="1:26" ht="15.75" customHeight="1" x14ac:dyDescent="0.35">
      <c r="A90" s="36"/>
      <c r="B90" s="36"/>
      <c r="C90" s="36"/>
      <c r="D90" s="36"/>
      <c r="E90" s="25" t="s">
        <v>120</v>
      </c>
      <c r="F90" s="17">
        <v>3</v>
      </c>
      <c r="G90" s="17">
        <v>3</v>
      </c>
      <c r="H90" s="17">
        <v>3</v>
      </c>
      <c r="I90" s="17">
        <v>3</v>
      </c>
      <c r="J90" s="17">
        <v>3</v>
      </c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1"/>
      <c r="Y90" s="1"/>
      <c r="Z90" s="1"/>
    </row>
    <row r="91" spans="1:26" ht="15.75" customHeight="1" x14ac:dyDescent="0.35">
      <c r="A91" s="36"/>
      <c r="B91" s="36"/>
      <c r="C91" s="36"/>
      <c r="D91" s="36"/>
      <c r="E91" s="26" t="s">
        <v>121</v>
      </c>
      <c r="F91" s="17">
        <v>3</v>
      </c>
      <c r="G91" s="17">
        <v>3</v>
      </c>
      <c r="H91" s="17">
        <v>3</v>
      </c>
      <c r="I91" s="17">
        <v>3</v>
      </c>
      <c r="J91" s="17">
        <v>3</v>
      </c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1"/>
      <c r="Y91" s="1"/>
      <c r="Z91" s="1"/>
    </row>
    <row r="92" spans="1:26" ht="15.75" customHeight="1" x14ac:dyDescent="0.35">
      <c r="A92" s="37"/>
      <c r="B92" s="37"/>
      <c r="C92" s="37"/>
      <c r="D92" s="37"/>
      <c r="E92" s="25" t="s">
        <v>41</v>
      </c>
      <c r="F92" s="17">
        <v>3</v>
      </c>
      <c r="G92" s="17">
        <v>3</v>
      </c>
      <c r="H92" s="17">
        <v>3</v>
      </c>
      <c r="I92" s="17">
        <v>3</v>
      </c>
      <c r="J92" s="17">
        <v>3</v>
      </c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6"/>
      <c r="X92" s="1"/>
      <c r="Y92" s="1"/>
      <c r="Z92" s="1"/>
    </row>
    <row r="93" spans="1:26" ht="15.75" customHeight="1" x14ac:dyDescent="0.4">
      <c r="A93" s="43" t="s">
        <v>122</v>
      </c>
      <c r="B93" s="43" t="s">
        <v>123</v>
      </c>
      <c r="C93" s="43">
        <v>9</v>
      </c>
      <c r="D93" s="43">
        <v>8</v>
      </c>
      <c r="E93" s="21" t="s">
        <v>124</v>
      </c>
      <c r="F93" s="4">
        <v>4</v>
      </c>
      <c r="G93" s="4">
        <v>4</v>
      </c>
      <c r="H93" s="4">
        <v>4</v>
      </c>
      <c r="I93" s="4">
        <v>4</v>
      </c>
      <c r="J93" s="4"/>
      <c r="K93" s="41">
        <f>SUM(F93:J96)</f>
        <v>64</v>
      </c>
      <c r="L93" s="41">
        <f>D93*K93</f>
        <v>512</v>
      </c>
      <c r="M93" s="41">
        <v>37.200000000000003</v>
      </c>
      <c r="N93" s="41">
        <v>37.700000000000003</v>
      </c>
      <c r="O93" s="41" t="s">
        <v>125</v>
      </c>
      <c r="P93" s="41">
        <f>M93*D93</f>
        <v>297.60000000000002</v>
      </c>
      <c r="Q93" s="41">
        <f>N93*D93</f>
        <v>301.60000000000002</v>
      </c>
      <c r="R93" s="42">
        <f>0.8*0.5*0.4*D93</f>
        <v>1.2800000000000002</v>
      </c>
      <c r="S93" s="45">
        <v>6.3</v>
      </c>
      <c r="T93" s="45">
        <f>S93*616</f>
        <v>3880.7999999999997</v>
      </c>
      <c r="U93" s="41" t="s">
        <v>126</v>
      </c>
      <c r="V93" s="41" t="s">
        <v>127</v>
      </c>
      <c r="W93" s="36"/>
      <c r="X93" s="1"/>
      <c r="Y93" s="1"/>
      <c r="Z93" s="1"/>
    </row>
    <row r="94" spans="1:26" ht="15.75" customHeight="1" x14ac:dyDescent="0.4">
      <c r="A94" s="36"/>
      <c r="B94" s="36"/>
      <c r="C94" s="36"/>
      <c r="D94" s="36"/>
      <c r="E94" s="21" t="s">
        <v>128</v>
      </c>
      <c r="F94" s="4">
        <v>4</v>
      </c>
      <c r="G94" s="4">
        <v>4</v>
      </c>
      <c r="H94" s="4">
        <v>4</v>
      </c>
      <c r="I94" s="4">
        <v>4</v>
      </c>
      <c r="J94" s="4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1"/>
      <c r="Y94" s="1"/>
      <c r="Z94" s="1"/>
    </row>
    <row r="95" spans="1:26" ht="15.75" customHeight="1" x14ac:dyDescent="0.4">
      <c r="A95" s="36"/>
      <c r="B95" s="36"/>
      <c r="C95" s="36"/>
      <c r="D95" s="36"/>
      <c r="E95" s="21" t="s">
        <v>52</v>
      </c>
      <c r="F95" s="4">
        <v>4</v>
      </c>
      <c r="G95" s="4">
        <v>4</v>
      </c>
      <c r="H95" s="4">
        <v>4</v>
      </c>
      <c r="I95" s="4">
        <v>4</v>
      </c>
      <c r="J95" s="4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1"/>
      <c r="Y95" s="1"/>
      <c r="Z95" s="1"/>
    </row>
    <row r="96" spans="1:26" ht="15.75" customHeight="1" x14ac:dyDescent="0.4">
      <c r="A96" s="36"/>
      <c r="B96" s="36"/>
      <c r="C96" s="36"/>
      <c r="D96" s="37"/>
      <c r="E96" s="21" t="s">
        <v>33</v>
      </c>
      <c r="F96" s="4">
        <v>4</v>
      </c>
      <c r="G96" s="4">
        <v>4</v>
      </c>
      <c r="H96" s="4">
        <v>4</v>
      </c>
      <c r="I96" s="4">
        <v>4</v>
      </c>
      <c r="J96" s="4"/>
      <c r="K96" s="37"/>
      <c r="L96" s="37"/>
      <c r="M96" s="37"/>
      <c r="N96" s="37"/>
      <c r="O96" s="37"/>
      <c r="P96" s="37"/>
      <c r="Q96" s="37"/>
      <c r="R96" s="37"/>
      <c r="S96" s="36"/>
      <c r="T96" s="36"/>
      <c r="U96" s="36"/>
      <c r="V96" s="36"/>
      <c r="W96" s="36"/>
      <c r="X96" s="1"/>
      <c r="Y96" s="1"/>
      <c r="Z96" s="1"/>
    </row>
    <row r="97" spans="1:26" ht="15.75" customHeight="1" x14ac:dyDescent="0.4">
      <c r="A97" s="36"/>
      <c r="B97" s="36"/>
      <c r="C97" s="36"/>
      <c r="D97" s="43">
        <v>1</v>
      </c>
      <c r="E97" s="21" t="s">
        <v>124</v>
      </c>
      <c r="F97" s="4">
        <v>8</v>
      </c>
      <c r="G97" s="4">
        <v>8</v>
      </c>
      <c r="H97" s="4">
        <v>8</v>
      </c>
      <c r="I97" s="4">
        <v>8</v>
      </c>
      <c r="J97" s="4"/>
      <c r="K97" s="41">
        <f>SUM(F97:J100)</f>
        <v>104</v>
      </c>
      <c r="L97" s="41">
        <f>D97*K97</f>
        <v>104</v>
      </c>
      <c r="M97" s="41">
        <v>60.5</v>
      </c>
      <c r="N97" s="41">
        <v>61</v>
      </c>
      <c r="O97" s="41" t="s">
        <v>129</v>
      </c>
      <c r="P97" s="41">
        <f>M97*D97</f>
        <v>60.5</v>
      </c>
      <c r="Q97" s="41">
        <f>N97*D97</f>
        <v>61</v>
      </c>
      <c r="R97" s="42">
        <f>0.8*0.5*0.4*D97</f>
        <v>0.16000000000000003</v>
      </c>
      <c r="S97" s="36"/>
      <c r="T97" s="36"/>
      <c r="U97" s="36"/>
      <c r="V97" s="36"/>
      <c r="W97" s="36"/>
      <c r="X97" s="1"/>
      <c r="Y97" s="1"/>
      <c r="Z97" s="1"/>
    </row>
    <row r="98" spans="1:26" ht="15.75" customHeight="1" x14ac:dyDescent="0.4">
      <c r="A98" s="36"/>
      <c r="B98" s="36"/>
      <c r="C98" s="36"/>
      <c r="D98" s="36"/>
      <c r="E98" s="21" t="s">
        <v>128</v>
      </c>
      <c r="F98" s="4">
        <v>6</v>
      </c>
      <c r="G98" s="4">
        <v>6</v>
      </c>
      <c r="H98" s="4">
        <v>6</v>
      </c>
      <c r="I98" s="4">
        <v>6</v>
      </c>
      <c r="J98" s="4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1"/>
      <c r="Y98" s="1"/>
      <c r="Z98" s="1"/>
    </row>
    <row r="99" spans="1:26" ht="15.75" customHeight="1" x14ac:dyDescent="0.4">
      <c r="A99" s="36"/>
      <c r="B99" s="36"/>
      <c r="C99" s="36"/>
      <c r="D99" s="36"/>
      <c r="E99" s="21" t="s">
        <v>52</v>
      </c>
      <c r="F99" s="4">
        <v>6</v>
      </c>
      <c r="G99" s="4">
        <v>6</v>
      </c>
      <c r="H99" s="4">
        <v>6</v>
      </c>
      <c r="I99" s="4">
        <v>6</v>
      </c>
      <c r="J99" s="4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1"/>
      <c r="Y99" s="1"/>
      <c r="Z99" s="1"/>
    </row>
    <row r="100" spans="1:26" ht="15.75" customHeight="1" x14ac:dyDescent="0.4">
      <c r="A100" s="37"/>
      <c r="B100" s="37"/>
      <c r="C100" s="37"/>
      <c r="D100" s="37"/>
      <c r="E100" s="21" t="s">
        <v>33</v>
      </c>
      <c r="F100" s="4">
        <v>6</v>
      </c>
      <c r="G100" s="4">
        <v>6</v>
      </c>
      <c r="H100" s="4">
        <v>6</v>
      </c>
      <c r="I100" s="4">
        <v>6</v>
      </c>
      <c r="J100" s="4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6"/>
      <c r="X100" s="1"/>
      <c r="Y100" s="1"/>
      <c r="Z100" s="1"/>
    </row>
    <row r="101" spans="1:26" ht="15.75" customHeight="1" x14ac:dyDescent="0.4">
      <c r="A101" s="43" t="s">
        <v>130</v>
      </c>
      <c r="B101" s="43" t="s">
        <v>26</v>
      </c>
      <c r="C101" s="43">
        <v>20</v>
      </c>
      <c r="D101" s="43">
        <v>20</v>
      </c>
      <c r="E101" s="21" t="s">
        <v>71</v>
      </c>
      <c r="F101" s="4">
        <v>3</v>
      </c>
      <c r="G101" s="4">
        <v>6</v>
      </c>
      <c r="H101" s="4">
        <v>6</v>
      </c>
      <c r="I101" s="4">
        <v>3</v>
      </c>
      <c r="J101" s="4"/>
      <c r="K101" s="41">
        <f>SUM(F101:J104)</f>
        <v>72</v>
      </c>
      <c r="L101" s="41">
        <f>D101*K101</f>
        <v>1440</v>
      </c>
      <c r="M101" s="41">
        <v>48</v>
      </c>
      <c r="N101" s="41">
        <v>48.5</v>
      </c>
      <c r="O101" s="41" t="s">
        <v>109</v>
      </c>
      <c r="P101" s="41">
        <f>M101*D101</f>
        <v>960</v>
      </c>
      <c r="Q101" s="41">
        <f>N101*D101</f>
        <v>970</v>
      </c>
      <c r="R101" s="42">
        <f>0.8*0.4*0.4*D101</f>
        <v>2.5600000000000005</v>
      </c>
      <c r="S101" s="45">
        <v>6.5</v>
      </c>
      <c r="T101" s="45">
        <f>S101*L101</f>
        <v>9360</v>
      </c>
      <c r="U101" s="41" t="s">
        <v>126</v>
      </c>
      <c r="V101" s="41" t="s">
        <v>131</v>
      </c>
      <c r="W101" s="36"/>
      <c r="X101" s="1"/>
      <c r="Y101" s="1"/>
      <c r="Z101" s="1"/>
    </row>
    <row r="102" spans="1:26" ht="15.75" customHeight="1" x14ac:dyDescent="0.4">
      <c r="A102" s="36"/>
      <c r="B102" s="36"/>
      <c r="C102" s="36"/>
      <c r="D102" s="36"/>
      <c r="E102" s="21" t="s">
        <v>132</v>
      </c>
      <c r="F102" s="4">
        <v>3</v>
      </c>
      <c r="G102" s="4">
        <v>6</v>
      </c>
      <c r="H102" s="4">
        <v>6</v>
      </c>
      <c r="I102" s="4">
        <v>3</v>
      </c>
      <c r="J102" s="4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1"/>
      <c r="Y102" s="1"/>
      <c r="Z102" s="1"/>
    </row>
    <row r="103" spans="1:26" ht="15.75" customHeight="1" x14ac:dyDescent="0.4">
      <c r="A103" s="36"/>
      <c r="B103" s="36"/>
      <c r="C103" s="36"/>
      <c r="D103" s="36"/>
      <c r="E103" s="21" t="s">
        <v>52</v>
      </c>
      <c r="F103" s="4">
        <v>3</v>
      </c>
      <c r="G103" s="4">
        <v>6</v>
      </c>
      <c r="H103" s="4">
        <v>6</v>
      </c>
      <c r="I103" s="4">
        <v>3</v>
      </c>
      <c r="J103" s="4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1"/>
      <c r="Y103" s="1"/>
      <c r="Z103" s="1"/>
    </row>
    <row r="104" spans="1:26" ht="15.75" customHeight="1" x14ac:dyDescent="0.4">
      <c r="A104" s="37"/>
      <c r="B104" s="37"/>
      <c r="C104" s="37"/>
      <c r="D104" s="37"/>
      <c r="E104" s="21" t="s">
        <v>27</v>
      </c>
      <c r="F104" s="4">
        <v>3</v>
      </c>
      <c r="G104" s="4">
        <v>6</v>
      </c>
      <c r="H104" s="4">
        <v>6</v>
      </c>
      <c r="I104" s="4">
        <v>3</v>
      </c>
      <c r="J104" s="4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6"/>
      <c r="X104" s="1"/>
      <c r="Y104" s="1"/>
      <c r="Z104" s="1"/>
    </row>
    <row r="105" spans="1:26" ht="15.75" customHeight="1" x14ac:dyDescent="0.4">
      <c r="A105" s="43" t="s">
        <v>133</v>
      </c>
      <c r="B105" s="43" t="s">
        <v>134</v>
      </c>
      <c r="C105" s="43">
        <v>7</v>
      </c>
      <c r="D105" s="43">
        <v>6</v>
      </c>
      <c r="E105" s="21" t="s">
        <v>76</v>
      </c>
      <c r="F105" s="4">
        <v>3</v>
      </c>
      <c r="G105" s="4">
        <v>6</v>
      </c>
      <c r="H105" s="4">
        <v>6</v>
      </c>
      <c r="I105" s="4">
        <v>3</v>
      </c>
      <c r="J105" s="4"/>
      <c r="K105" s="41">
        <f>SUM(F105:J108)</f>
        <v>72</v>
      </c>
      <c r="L105" s="41">
        <f>D105*K105</f>
        <v>432</v>
      </c>
      <c r="M105" s="41">
        <v>30.1</v>
      </c>
      <c r="N105" s="41">
        <v>30.6</v>
      </c>
      <c r="O105" s="41" t="s">
        <v>109</v>
      </c>
      <c r="P105" s="41">
        <f>M105*D105</f>
        <v>180.60000000000002</v>
      </c>
      <c r="Q105" s="41">
        <f>N105*D105</f>
        <v>183.60000000000002</v>
      </c>
      <c r="R105" s="42">
        <f>0.8*0.4*0.4*D105</f>
        <v>0.76800000000000024</v>
      </c>
      <c r="S105" s="45">
        <v>5.0999999999999996</v>
      </c>
      <c r="T105" s="45">
        <f>S105*528</f>
        <v>2692.7999999999997</v>
      </c>
      <c r="U105" s="41" t="s">
        <v>126</v>
      </c>
      <c r="V105" s="43" t="s">
        <v>135</v>
      </c>
      <c r="W105" s="36"/>
      <c r="X105" s="1"/>
      <c r="Y105" s="1"/>
      <c r="Z105" s="1"/>
    </row>
    <row r="106" spans="1:26" ht="15.75" customHeight="1" x14ac:dyDescent="0.4">
      <c r="A106" s="36"/>
      <c r="B106" s="36"/>
      <c r="C106" s="36"/>
      <c r="D106" s="36"/>
      <c r="E106" s="21" t="s">
        <v>62</v>
      </c>
      <c r="F106" s="4">
        <v>3</v>
      </c>
      <c r="G106" s="4">
        <v>6</v>
      </c>
      <c r="H106" s="4">
        <v>6</v>
      </c>
      <c r="I106" s="4">
        <v>3</v>
      </c>
      <c r="J106" s="4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1"/>
      <c r="Y106" s="1"/>
      <c r="Z106" s="1"/>
    </row>
    <row r="107" spans="1:26" ht="15.75" customHeight="1" x14ac:dyDescent="0.4">
      <c r="A107" s="36"/>
      <c r="B107" s="36"/>
      <c r="C107" s="36"/>
      <c r="D107" s="36"/>
      <c r="E107" s="21" t="s">
        <v>52</v>
      </c>
      <c r="F107" s="4">
        <v>3</v>
      </c>
      <c r="G107" s="4">
        <v>6</v>
      </c>
      <c r="H107" s="4">
        <v>6</v>
      </c>
      <c r="I107" s="4">
        <v>3</v>
      </c>
      <c r="J107" s="4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1"/>
      <c r="Y107" s="1"/>
      <c r="Z107" s="1"/>
    </row>
    <row r="108" spans="1:26" ht="15.75" customHeight="1" x14ac:dyDescent="0.4">
      <c r="A108" s="36"/>
      <c r="B108" s="37"/>
      <c r="C108" s="36"/>
      <c r="D108" s="37"/>
      <c r="E108" s="21" t="s">
        <v>27</v>
      </c>
      <c r="F108" s="4">
        <v>3</v>
      </c>
      <c r="G108" s="4">
        <v>6</v>
      </c>
      <c r="H108" s="4">
        <v>6</v>
      </c>
      <c r="I108" s="4">
        <v>3</v>
      </c>
      <c r="J108" s="4"/>
      <c r="K108" s="37"/>
      <c r="L108" s="37"/>
      <c r="M108" s="37"/>
      <c r="N108" s="37"/>
      <c r="O108" s="37"/>
      <c r="P108" s="37"/>
      <c r="Q108" s="37"/>
      <c r="R108" s="37"/>
      <c r="S108" s="36"/>
      <c r="T108" s="36"/>
      <c r="U108" s="36"/>
      <c r="V108" s="36"/>
      <c r="W108" s="36"/>
      <c r="X108" s="1"/>
      <c r="Y108" s="1"/>
      <c r="Z108" s="1"/>
    </row>
    <row r="109" spans="1:26" ht="15.75" customHeight="1" x14ac:dyDescent="0.4">
      <c r="A109" s="36"/>
      <c r="B109" s="43">
        <v>7</v>
      </c>
      <c r="C109" s="36"/>
      <c r="D109" s="43">
        <v>1</v>
      </c>
      <c r="E109" s="21" t="s">
        <v>76</v>
      </c>
      <c r="F109" s="4">
        <v>4</v>
      </c>
      <c r="G109" s="4">
        <v>8</v>
      </c>
      <c r="H109" s="4">
        <v>8</v>
      </c>
      <c r="I109" s="4">
        <v>4</v>
      </c>
      <c r="J109" s="4"/>
      <c r="K109" s="41">
        <f>SUM(F109:J112)</f>
        <v>96</v>
      </c>
      <c r="L109" s="41">
        <f>D109*K109</f>
        <v>96</v>
      </c>
      <c r="M109" s="41">
        <v>40.1</v>
      </c>
      <c r="N109" s="41">
        <v>40.6</v>
      </c>
      <c r="O109" s="41" t="s">
        <v>109</v>
      </c>
      <c r="P109" s="41">
        <f>M109*D109</f>
        <v>40.1</v>
      </c>
      <c r="Q109" s="41">
        <f>N109*D109</f>
        <v>40.6</v>
      </c>
      <c r="R109" s="42">
        <f>0.8*0.4*0.4*D109</f>
        <v>0.12800000000000003</v>
      </c>
      <c r="S109" s="36"/>
      <c r="T109" s="36"/>
      <c r="U109" s="36"/>
      <c r="V109" s="36"/>
      <c r="W109" s="36"/>
      <c r="X109" s="1"/>
      <c r="Y109" s="1"/>
      <c r="Z109" s="1"/>
    </row>
    <row r="110" spans="1:26" ht="15.75" customHeight="1" x14ac:dyDescent="0.4">
      <c r="A110" s="36"/>
      <c r="B110" s="36"/>
      <c r="C110" s="36"/>
      <c r="D110" s="36"/>
      <c r="E110" s="21" t="s">
        <v>62</v>
      </c>
      <c r="F110" s="4">
        <v>4</v>
      </c>
      <c r="G110" s="4">
        <v>8</v>
      </c>
      <c r="H110" s="4">
        <v>8</v>
      </c>
      <c r="I110" s="4">
        <v>4</v>
      </c>
      <c r="J110" s="4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1"/>
      <c r="Y110" s="1"/>
      <c r="Z110" s="1"/>
    </row>
    <row r="111" spans="1:26" ht="15.75" customHeight="1" x14ac:dyDescent="0.4">
      <c r="A111" s="36"/>
      <c r="B111" s="36"/>
      <c r="C111" s="36"/>
      <c r="D111" s="36"/>
      <c r="E111" s="21" t="s">
        <v>52</v>
      </c>
      <c r="F111" s="4">
        <v>4</v>
      </c>
      <c r="G111" s="4">
        <v>8</v>
      </c>
      <c r="H111" s="4">
        <v>8</v>
      </c>
      <c r="I111" s="4">
        <v>4</v>
      </c>
      <c r="J111" s="4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1"/>
      <c r="Y111" s="1"/>
      <c r="Z111" s="1"/>
    </row>
    <row r="112" spans="1:26" ht="15.75" customHeight="1" x14ac:dyDescent="0.4">
      <c r="A112" s="37"/>
      <c r="B112" s="37"/>
      <c r="C112" s="37"/>
      <c r="D112" s="37"/>
      <c r="E112" s="21" t="s">
        <v>27</v>
      </c>
      <c r="F112" s="4">
        <v>4</v>
      </c>
      <c r="G112" s="4">
        <v>8</v>
      </c>
      <c r="H112" s="4">
        <v>8</v>
      </c>
      <c r="I112" s="4">
        <v>4</v>
      </c>
      <c r="J112" s="4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6"/>
      <c r="X112" s="1"/>
      <c r="Y112" s="1"/>
      <c r="Z112" s="1"/>
    </row>
    <row r="113" spans="1:26" ht="15.75" customHeight="1" x14ac:dyDescent="0.4">
      <c r="A113" s="43" t="s">
        <v>136</v>
      </c>
      <c r="B113" s="43" t="s">
        <v>55</v>
      </c>
      <c r="C113" s="43">
        <v>8</v>
      </c>
      <c r="D113" s="43">
        <v>8</v>
      </c>
      <c r="E113" s="21" t="s">
        <v>137</v>
      </c>
      <c r="F113" s="4">
        <v>4</v>
      </c>
      <c r="G113" s="4">
        <v>4</v>
      </c>
      <c r="H113" s="4">
        <v>4</v>
      </c>
      <c r="I113" s="4">
        <v>4</v>
      </c>
      <c r="J113" s="4"/>
      <c r="K113" s="41">
        <f>SUM(F113:J116)</f>
        <v>64</v>
      </c>
      <c r="L113" s="41">
        <f>D113*K113</f>
        <v>512</v>
      </c>
      <c r="M113" s="41">
        <v>50.8</v>
      </c>
      <c r="N113" s="41">
        <v>51.3</v>
      </c>
      <c r="O113" s="41" t="s">
        <v>125</v>
      </c>
      <c r="P113" s="41">
        <f>M113*D113</f>
        <v>406.4</v>
      </c>
      <c r="Q113" s="41">
        <f>N113*D113</f>
        <v>410.4</v>
      </c>
      <c r="R113" s="42">
        <f>0.8*0.5*0.4*D113</f>
        <v>1.2800000000000002</v>
      </c>
      <c r="S113" s="45">
        <v>6.5</v>
      </c>
      <c r="T113" s="45">
        <f>S113*L113</f>
        <v>3328</v>
      </c>
      <c r="U113" s="41" t="s">
        <v>138</v>
      </c>
      <c r="V113" s="41" t="s">
        <v>139</v>
      </c>
      <c r="W113" s="36"/>
      <c r="X113" s="1"/>
      <c r="Y113" s="1"/>
      <c r="Z113" s="1"/>
    </row>
    <row r="114" spans="1:26" ht="15.75" customHeight="1" x14ac:dyDescent="0.4">
      <c r="A114" s="36"/>
      <c r="B114" s="36"/>
      <c r="C114" s="36"/>
      <c r="D114" s="36"/>
      <c r="E114" s="21" t="s">
        <v>52</v>
      </c>
      <c r="F114" s="4">
        <v>4</v>
      </c>
      <c r="G114" s="4">
        <v>4</v>
      </c>
      <c r="H114" s="4">
        <v>4</v>
      </c>
      <c r="I114" s="4">
        <v>4</v>
      </c>
      <c r="J114" s="4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1"/>
      <c r="Y114" s="1"/>
      <c r="Z114" s="1"/>
    </row>
    <row r="115" spans="1:26" ht="15.75" customHeight="1" x14ac:dyDescent="0.4">
      <c r="A115" s="36"/>
      <c r="B115" s="36"/>
      <c r="C115" s="36"/>
      <c r="D115" s="36"/>
      <c r="E115" s="21" t="s">
        <v>140</v>
      </c>
      <c r="F115" s="4">
        <v>4</v>
      </c>
      <c r="G115" s="4">
        <v>4</v>
      </c>
      <c r="H115" s="4">
        <v>4</v>
      </c>
      <c r="I115" s="4">
        <v>4</v>
      </c>
      <c r="J115" s="4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1"/>
      <c r="Y115" s="1"/>
      <c r="Z115" s="1"/>
    </row>
    <row r="116" spans="1:26" ht="15.75" customHeight="1" x14ac:dyDescent="0.4">
      <c r="A116" s="37"/>
      <c r="B116" s="37"/>
      <c r="C116" s="37"/>
      <c r="D116" s="37"/>
      <c r="E116" s="21" t="s">
        <v>62</v>
      </c>
      <c r="F116" s="4">
        <v>4</v>
      </c>
      <c r="G116" s="4">
        <v>4</v>
      </c>
      <c r="H116" s="4">
        <v>4</v>
      </c>
      <c r="I116" s="4">
        <v>4</v>
      </c>
      <c r="J116" s="4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6"/>
      <c r="X116" s="1"/>
      <c r="Y116" s="1"/>
      <c r="Z116" s="1"/>
    </row>
    <row r="117" spans="1:26" ht="15.75" customHeight="1" x14ac:dyDescent="0.4">
      <c r="A117" s="43" t="s">
        <v>141</v>
      </c>
      <c r="B117" s="43" t="s">
        <v>142</v>
      </c>
      <c r="C117" s="43">
        <v>12</v>
      </c>
      <c r="D117" s="43">
        <v>11</v>
      </c>
      <c r="E117" s="27" t="s">
        <v>27</v>
      </c>
      <c r="F117" s="4">
        <v>4</v>
      </c>
      <c r="G117" s="4">
        <v>4</v>
      </c>
      <c r="H117" s="4">
        <v>4</v>
      </c>
      <c r="I117" s="4">
        <v>4</v>
      </c>
      <c r="J117" s="4"/>
      <c r="K117" s="41">
        <f>SUM(F117:J120)</f>
        <v>64</v>
      </c>
      <c r="L117" s="41">
        <f>D117*K117</f>
        <v>704</v>
      </c>
      <c r="M117" s="41">
        <v>37</v>
      </c>
      <c r="N117" s="41">
        <v>37.5</v>
      </c>
      <c r="O117" s="41" t="s">
        <v>143</v>
      </c>
      <c r="P117" s="41">
        <f>M117*D117</f>
        <v>407</v>
      </c>
      <c r="Q117" s="41">
        <f>N117*D117</f>
        <v>412.5</v>
      </c>
      <c r="R117" s="42">
        <f>0.8*0.55*0.4*D117</f>
        <v>1.9360000000000004</v>
      </c>
      <c r="S117" s="45">
        <v>5.8</v>
      </c>
      <c r="T117" s="45">
        <f>S117*800</f>
        <v>4640</v>
      </c>
      <c r="U117" s="43" t="s">
        <v>29</v>
      </c>
      <c r="V117" s="43" t="s">
        <v>144</v>
      </c>
      <c r="W117" s="36"/>
      <c r="X117" s="1"/>
      <c r="Y117" s="1"/>
      <c r="Z117" s="1"/>
    </row>
    <row r="118" spans="1:26" ht="15.75" customHeight="1" x14ac:dyDescent="0.4">
      <c r="A118" s="36"/>
      <c r="B118" s="36"/>
      <c r="C118" s="36"/>
      <c r="D118" s="36"/>
      <c r="E118" s="27" t="s">
        <v>111</v>
      </c>
      <c r="F118" s="4">
        <v>4</v>
      </c>
      <c r="G118" s="4">
        <v>4</v>
      </c>
      <c r="H118" s="4">
        <v>4</v>
      </c>
      <c r="I118" s="4">
        <v>4</v>
      </c>
      <c r="J118" s="4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1"/>
      <c r="Y118" s="1"/>
      <c r="Z118" s="1"/>
    </row>
    <row r="119" spans="1:26" ht="15.75" customHeight="1" x14ac:dyDescent="0.4">
      <c r="A119" s="36"/>
      <c r="B119" s="36"/>
      <c r="C119" s="36"/>
      <c r="D119" s="36"/>
      <c r="E119" s="27" t="s">
        <v>33</v>
      </c>
      <c r="F119" s="4">
        <v>4</v>
      </c>
      <c r="G119" s="4">
        <v>4</v>
      </c>
      <c r="H119" s="4">
        <v>4</v>
      </c>
      <c r="I119" s="4">
        <v>4</v>
      </c>
      <c r="J119" s="4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1"/>
      <c r="Y119" s="1"/>
      <c r="Z119" s="1"/>
    </row>
    <row r="120" spans="1:26" ht="15.75" customHeight="1" x14ac:dyDescent="0.4">
      <c r="A120" s="36"/>
      <c r="B120" s="37"/>
      <c r="C120" s="36"/>
      <c r="D120" s="37"/>
      <c r="E120" s="27" t="s">
        <v>145</v>
      </c>
      <c r="F120" s="4">
        <v>4</v>
      </c>
      <c r="G120" s="4">
        <v>4</v>
      </c>
      <c r="H120" s="4">
        <v>4</v>
      </c>
      <c r="I120" s="4">
        <v>4</v>
      </c>
      <c r="J120" s="4"/>
      <c r="K120" s="37"/>
      <c r="L120" s="37"/>
      <c r="M120" s="37"/>
      <c r="N120" s="37"/>
      <c r="O120" s="37"/>
      <c r="P120" s="37"/>
      <c r="Q120" s="37"/>
      <c r="R120" s="37"/>
      <c r="S120" s="36"/>
      <c r="T120" s="36"/>
      <c r="U120" s="36"/>
      <c r="V120" s="36"/>
      <c r="W120" s="36"/>
      <c r="X120" s="1"/>
      <c r="Y120" s="1"/>
      <c r="Z120" s="1"/>
    </row>
    <row r="121" spans="1:26" ht="15.75" customHeight="1" x14ac:dyDescent="0.4">
      <c r="A121" s="36"/>
      <c r="B121" s="43">
        <v>12</v>
      </c>
      <c r="C121" s="36"/>
      <c r="D121" s="43">
        <v>1</v>
      </c>
      <c r="E121" s="27" t="s">
        <v>27</v>
      </c>
      <c r="F121" s="4">
        <v>6</v>
      </c>
      <c r="G121" s="4">
        <v>6</v>
      </c>
      <c r="H121" s="4">
        <v>6</v>
      </c>
      <c r="I121" s="4">
        <v>6</v>
      </c>
      <c r="J121" s="4"/>
      <c r="K121" s="41">
        <f>SUM(F121:J124)</f>
        <v>96</v>
      </c>
      <c r="L121" s="41">
        <f>SUM(F121:I124)</f>
        <v>96</v>
      </c>
      <c r="M121" s="41">
        <v>55.3</v>
      </c>
      <c r="N121" s="41">
        <v>55.8</v>
      </c>
      <c r="O121" s="41" t="s">
        <v>143</v>
      </c>
      <c r="P121" s="41">
        <f>M121*D121</f>
        <v>55.3</v>
      </c>
      <c r="Q121" s="41">
        <f>N121*D121</f>
        <v>55.8</v>
      </c>
      <c r="R121" s="42">
        <f>0.8*0.55*0.4*D121</f>
        <v>0.17600000000000005</v>
      </c>
      <c r="S121" s="36"/>
      <c r="T121" s="36"/>
      <c r="U121" s="36"/>
      <c r="V121" s="36"/>
      <c r="W121" s="36"/>
      <c r="X121" s="1"/>
      <c r="Y121" s="1"/>
      <c r="Z121" s="1"/>
    </row>
    <row r="122" spans="1:26" ht="15.75" customHeight="1" x14ac:dyDescent="0.4">
      <c r="A122" s="36"/>
      <c r="B122" s="36"/>
      <c r="C122" s="36"/>
      <c r="D122" s="36"/>
      <c r="E122" s="27" t="s">
        <v>111</v>
      </c>
      <c r="F122" s="4">
        <v>6</v>
      </c>
      <c r="G122" s="4">
        <v>6</v>
      </c>
      <c r="H122" s="4">
        <v>6</v>
      </c>
      <c r="I122" s="4">
        <v>6</v>
      </c>
      <c r="J122" s="4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1"/>
      <c r="Y122" s="1"/>
      <c r="Z122" s="1"/>
    </row>
    <row r="123" spans="1:26" ht="15.75" customHeight="1" x14ac:dyDescent="0.4">
      <c r="A123" s="36"/>
      <c r="B123" s="36"/>
      <c r="C123" s="36"/>
      <c r="D123" s="36"/>
      <c r="E123" s="27" t="s">
        <v>33</v>
      </c>
      <c r="F123" s="4">
        <v>6</v>
      </c>
      <c r="G123" s="4">
        <v>6</v>
      </c>
      <c r="H123" s="4">
        <v>6</v>
      </c>
      <c r="I123" s="4">
        <v>6</v>
      </c>
      <c r="J123" s="4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1"/>
      <c r="Y123" s="1"/>
      <c r="Z123" s="1"/>
    </row>
    <row r="124" spans="1:26" ht="15.75" customHeight="1" x14ac:dyDescent="0.4">
      <c r="A124" s="37"/>
      <c r="B124" s="37"/>
      <c r="C124" s="37"/>
      <c r="D124" s="37"/>
      <c r="E124" s="27" t="s">
        <v>145</v>
      </c>
      <c r="F124" s="4">
        <v>6</v>
      </c>
      <c r="G124" s="4">
        <v>6</v>
      </c>
      <c r="H124" s="4">
        <v>6</v>
      </c>
      <c r="I124" s="4">
        <v>6</v>
      </c>
      <c r="J124" s="4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6"/>
      <c r="X124" s="1"/>
      <c r="Y124" s="1"/>
      <c r="Z124" s="1"/>
    </row>
    <row r="125" spans="1:26" ht="15.75" customHeight="1" x14ac:dyDescent="0.4">
      <c r="A125" s="43" t="s">
        <v>146</v>
      </c>
      <c r="B125" s="43" t="s">
        <v>73</v>
      </c>
      <c r="C125" s="43">
        <v>8</v>
      </c>
      <c r="D125" s="43">
        <v>7</v>
      </c>
      <c r="E125" s="21" t="s">
        <v>27</v>
      </c>
      <c r="F125" s="4">
        <v>6</v>
      </c>
      <c r="G125" s="4">
        <v>12</v>
      </c>
      <c r="H125" s="4">
        <v>12</v>
      </c>
      <c r="I125" s="4">
        <v>12</v>
      </c>
      <c r="J125" s="4">
        <v>6</v>
      </c>
      <c r="K125" s="41">
        <f>SUM(F125:J127)</f>
        <v>96</v>
      </c>
      <c r="L125" s="41">
        <f>D125*K125</f>
        <v>672</v>
      </c>
      <c r="M125" s="41">
        <v>58.5</v>
      </c>
      <c r="N125" s="41">
        <v>59</v>
      </c>
      <c r="O125" s="41" t="s">
        <v>147</v>
      </c>
      <c r="P125" s="41">
        <f>M125*D125</f>
        <v>409.5</v>
      </c>
      <c r="Q125" s="41">
        <f>N125*D125</f>
        <v>413</v>
      </c>
      <c r="R125" s="42">
        <f>0.8*0.45*0.4*D125</f>
        <v>1.008</v>
      </c>
      <c r="S125" s="45">
        <v>9</v>
      </c>
      <c r="T125" s="45">
        <f>S125*800</f>
        <v>7200</v>
      </c>
      <c r="U125" s="43" t="s">
        <v>29</v>
      </c>
      <c r="V125" s="43" t="s">
        <v>148</v>
      </c>
      <c r="W125" s="36"/>
      <c r="X125" s="1"/>
      <c r="Y125" s="1"/>
      <c r="Z125" s="1"/>
    </row>
    <row r="126" spans="1:26" ht="15.75" customHeight="1" x14ac:dyDescent="0.4">
      <c r="A126" s="36"/>
      <c r="B126" s="36"/>
      <c r="C126" s="36"/>
      <c r="D126" s="36"/>
      <c r="E126" s="21" t="s">
        <v>113</v>
      </c>
      <c r="F126" s="4">
        <v>3</v>
      </c>
      <c r="G126" s="4">
        <v>6</v>
      </c>
      <c r="H126" s="4">
        <v>6</v>
      </c>
      <c r="I126" s="4">
        <v>6</v>
      </c>
      <c r="J126" s="4">
        <v>3</v>
      </c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1"/>
      <c r="Y126" s="1"/>
      <c r="Z126" s="1"/>
    </row>
    <row r="127" spans="1:26" ht="15.75" customHeight="1" x14ac:dyDescent="0.4">
      <c r="A127" s="36"/>
      <c r="B127" s="37"/>
      <c r="C127" s="36"/>
      <c r="D127" s="37"/>
      <c r="E127" s="21" t="s">
        <v>89</v>
      </c>
      <c r="F127" s="4">
        <v>3</v>
      </c>
      <c r="G127" s="4">
        <v>6</v>
      </c>
      <c r="H127" s="4">
        <v>6</v>
      </c>
      <c r="I127" s="4">
        <v>6</v>
      </c>
      <c r="J127" s="4">
        <v>3</v>
      </c>
      <c r="K127" s="37"/>
      <c r="L127" s="37"/>
      <c r="M127" s="37"/>
      <c r="N127" s="37"/>
      <c r="O127" s="37"/>
      <c r="P127" s="37"/>
      <c r="Q127" s="37"/>
      <c r="R127" s="37"/>
      <c r="S127" s="36"/>
      <c r="T127" s="36"/>
      <c r="U127" s="36"/>
      <c r="V127" s="36"/>
      <c r="W127" s="36"/>
      <c r="X127" s="1"/>
      <c r="Y127" s="1"/>
      <c r="Z127" s="1"/>
    </row>
    <row r="128" spans="1:26" ht="15.75" customHeight="1" x14ac:dyDescent="0.4">
      <c r="A128" s="36"/>
      <c r="B128" s="43">
        <v>8</v>
      </c>
      <c r="C128" s="36"/>
      <c r="D128" s="43">
        <v>1</v>
      </c>
      <c r="E128" s="21" t="s">
        <v>27</v>
      </c>
      <c r="F128" s="4">
        <v>8</v>
      </c>
      <c r="G128" s="4">
        <v>16</v>
      </c>
      <c r="H128" s="4">
        <v>16</v>
      </c>
      <c r="I128" s="4">
        <v>16</v>
      </c>
      <c r="J128" s="4">
        <v>8</v>
      </c>
      <c r="K128" s="41">
        <f>SUM(F128:J130)</f>
        <v>128</v>
      </c>
      <c r="L128" s="41">
        <f>SUM(F128:J130)</f>
        <v>128</v>
      </c>
      <c r="M128" s="41">
        <v>77.8</v>
      </c>
      <c r="N128" s="41">
        <v>78.3</v>
      </c>
      <c r="O128" s="41" t="s">
        <v>147</v>
      </c>
      <c r="P128" s="41">
        <f>M128*D128</f>
        <v>77.8</v>
      </c>
      <c r="Q128" s="41">
        <f>N128*D128</f>
        <v>78.3</v>
      </c>
      <c r="R128" s="42">
        <f>0.8*0.45*0.4*D128</f>
        <v>0.14400000000000002</v>
      </c>
      <c r="S128" s="36"/>
      <c r="T128" s="36"/>
      <c r="U128" s="36"/>
      <c r="V128" s="36"/>
      <c r="W128" s="36"/>
      <c r="X128" s="1"/>
      <c r="Y128" s="1"/>
      <c r="Z128" s="1"/>
    </row>
    <row r="129" spans="1:26" ht="15.75" customHeight="1" x14ac:dyDescent="0.4">
      <c r="A129" s="36"/>
      <c r="B129" s="36"/>
      <c r="C129" s="36"/>
      <c r="D129" s="36"/>
      <c r="E129" s="21" t="s">
        <v>113</v>
      </c>
      <c r="F129" s="4">
        <v>4</v>
      </c>
      <c r="G129" s="4">
        <v>8</v>
      </c>
      <c r="H129" s="4">
        <v>8</v>
      </c>
      <c r="I129" s="4">
        <v>8</v>
      </c>
      <c r="J129" s="4">
        <v>4</v>
      </c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1"/>
      <c r="Y129" s="1"/>
      <c r="Z129" s="1"/>
    </row>
    <row r="130" spans="1:26" ht="15.75" customHeight="1" x14ac:dyDescent="0.4">
      <c r="A130" s="37"/>
      <c r="B130" s="37"/>
      <c r="C130" s="37"/>
      <c r="D130" s="37"/>
      <c r="E130" s="21" t="s">
        <v>89</v>
      </c>
      <c r="F130" s="4">
        <v>4</v>
      </c>
      <c r="G130" s="4">
        <v>8</v>
      </c>
      <c r="H130" s="4">
        <v>8</v>
      </c>
      <c r="I130" s="4">
        <v>8</v>
      </c>
      <c r="J130" s="4">
        <v>4</v>
      </c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6"/>
      <c r="X130" s="1"/>
      <c r="Y130" s="1"/>
      <c r="Z130" s="1"/>
    </row>
    <row r="131" spans="1:26" ht="15.75" customHeight="1" x14ac:dyDescent="0.4">
      <c r="A131" s="43" t="s">
        <v>149</v>
      </c>
      <c r="B131" s="43" t="s">
        <v>142</v>
      </c>
      <c r="C131" s="43">
        <v>12</v>
      </c>
      <c r="D131" s="43">
        <v>11</v>
      </c>
      <c r="E131" s="21" t="s">
        <v>27</v>
      </c>
      <c r="F131" s="4">
        <v>4</v>
      </c>
      <c r="G131" s="4">
        <v>8</v>
      </c>
      <c r="H131" s="4">
        <v>8</v>
      </c>
      <c r="I131" s="4">
        <v>8</v>
      </c>
      <c r="J131" s="4">
        <v>4</v>
      </c>
      <c r="K131" s="41">
        <f>SUM(F131:J134)</f>
        <v>80</v>
      </c>
      <c r="L131" s="41">
        <f>D131*K131</f>
        <v>880</v>
      </c>
      <c r="M131" s="41">
        <v>35.1</v>
      </c>
      <c r="N131" s="41">
        <v>36.6</v>
      </c>
      <c r="O131" s="41" t="s">
        <v>109</v>
      </c>
      <c r="P131" s="41">
        <f>M131*D131</f>
        <v>386.1</v>
      </c>
      <c r="Q131" s="41">
        <f>N131*D131</f>
        <v>402.6</v>
      </c>
      <c r="R131" s="42">
        <f>0.8*0.4*0.4*D131</f>
        <v>1.4080000000000004</v>
      </c>
      <c r="S131" s="45">
        <v>8</v>
      </c>
      <c r="T131" s="45">
        <f>S131*1000</f>
        <v>8000</v>
      </c>
      <c r="U131" s="43" t="s">
        <v>29</v>
      </c>
      <c r="V131" s="43" t="s">
        <v>148</v>
      </c>
      <c r="W131" s="36"/>
      <c r="X131" s="1"/>
      <c r="Y131" s="1"/>
      <c r="Z131" s="1"/>
    </row>
    <row r="132" spans="1:26" ht="15.75" customHeight="1" x14ac:dyDescent="0.4">
      <c r="A132" s="36"/>
      <c r="B132" s="36"/>
      <c r="C132" s="36"/>
      <c r="D132" s="36"/>
      <c r="E132" s="21" t="s">
        <v>112</v>
      </c>
      <c r="F132" s="4">
        <v>2</v>
      </c>
      <c r="G132" s="4">
        <v>4</v>
      </c>
      <c r="H132" s="4">
        <v>4</v>
      </c>
      <c r="I132" s="4">
        <v>4</v>
      </c>
      <c r="J132" s="4">
        <v>2</v>
      </c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1"/>
      <c r="Y132" s="1"/>
      <c r="Z132" s="1"/>
    </row>
    <row r="133" spans="1:26" ht="15.75" customHeight="1" x14ac:dyDescent="0.4">
      <c r="A133" s="36"/>
      <c r="B133" s="36"/>
      <c r="C133" s="36"/>
      <c r="D133" s="36"/>
      <c r="E133" s="21" t="s">
        <v>113</v>
      </c>
      <c r="F133" s="4">
        <v>2</v>
      </c>
      <c r="G133" s="4">
        <v>4</v>
      </c>
      <c r="H133" s="4">
        <v>4</v>
      </c>
      <c r="I133" s="4">
        <v>4</v>
      </c>
      <c r="J133" s="4">
        <v>2</v>
      </c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1"/>
      <c r="Y133" s="1"/>
      <c r="Z133" s="1"/>
    </row>
    <row r="134" spans="1:26" ht="15.75" customHeight="1" x14ac:dyDescent="0.4">
      <c r="A134" s="36"/>
      <c r="B134" s="37"/>
      <c r="C134" s="36"/>
      <c r="D134" s="37"/>
      <c r="E134" s="21" t="s">
        <v>89</v>
      </c>
      <c r="F134" s="4">
        <v>2</v>
      </c>
      <c r="G134" s="4">
        <v>4</v>
      </c>
      <c r="H134" s="4">
        <v>4</v>
      </c>
      <c r="I134" s="4">
        <v>4</v>
      </c>
      <c r="J134" s="4">
        <v>2</v>
      </c>
      <c r="K134" s="37"/>
      <c r="L134" s="37"/>
      <c r="M134" s="37"/>
      <c r="N134" s="37"/>
      <c r="O134" s="37"/>
      <c r="P134" s="37"/>
      <c r="Q134" s="37"/>
      <c r="R134" s="37"/>
      <c r="S134" s="36"/>
      <c r="T134" s="36"/>
      <c r="U134" s="36"/>
      <c r="V134" s="36"/>
      <c r="W134" s="36"/>
      <c r="X134" s="1"/>
      <c r="Y134" s="1"/>
      <c r="Z134" s="1"/>
    </row>
    <row r="135" spans="1:26" ht="15.75" customHeight="1" x14ac:dyDescent="0.4">
      <c r="A135" s="36"/>
      <c r="B135" s="43">
        <v>12</v>
      </c>
      <c r="C135" s="36"/>
      <c r="D135" s="43">
        <v>1</v>
      </c>
      <c r="E135" s="21" t="s">
        <v>27</v>
      </c>
      <c r="F135" s="4">
        <v>6</v>
      </c>
      <c r="G135" s="4">
        <v>12</v>
      </c>
      <c r="H135" s="4">
        <v>12</v>
      </c>
      <c r="I135" s="4">
        <v>12</v>
      </c>
      <c r="J135" s="4">
        <v>6</v>
      </c>
      <c r="K135" s="41">
        <f>SUM(F135:J138)</f>
        <v>120</v>
      </c>
      <c r="L135" s="41">
        <f>D135*K135</f>
        <v>120</v>
      </c>
      <c r="M135" s="41">
        <v>53.9</v>
      </c>
      <c r="N135" s="41">
        <v>54.4</v>
      </c>
      <c r="O135" s="41" t="s">
        <v>109</v>
      </c>
      <c r="P135" s="41">
        <f>M135*D135</f>
        <v>53.9</v>
      </c>
      <c r="Q135" s="41">
        <f>N135*D135</f>
        <v>54.4</v>
      </c>
      <c r="R135" s="42">
        <f>0.8*0.4*0.4*D135</f>
        <v>0.12800000000000003</v>
      </c>
      <c r="S135" s="36"/>
      <c r="T135" s="36"/>
      <c r="U135" s="36"/>
      <c r="V135" s="36"/>
      <c r="W135" s="36"/>
      <c r="X135" s="1"/>
      <c r="Y135" s="1"/>
      <c r="Z135" s="1"/>
    </row>
    <row r="136" spans="1:26" ht="15.75" customHeight="1" x14ac:dyDescent="0.4">
      <c r="A136" s="36"/>
      <c r="B136" s="36"/>
      <c r="C136" s="36"/>
      <c r="D136" s="36"/>
      <c r="E136" s="21" t="s">
        <v>112</v>
      </c>
      <c r="F136" s="4">
        <v>3</v>
      </c>
      <c r="G136" s="4">
        <v>6</v>
      </c>
      <c r="H136" s="4">
        <v>6</v>
      </c>
      <c r="I136" s="4">
        <v>6</v>
      </c>
      <c r="J136" s="4">
        <v>3</v>
      </c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1"/>
      <c r="Y136" s="1"/>
      <c r="Z136" s="1"/>
    </row>
    <row r="137" spans="1:26" ht="15.75" customHeight="1" x14ac:dyDescent="0.4">
      <c r="A137" s="36"/>
      <c r="B137" s="36"/>
      <c r="C137" s="36"/>
      <c r="D137" s="36"/>
      <c r="E137" s="21" t="s">
        <v>113</v>
      </c>
      <c r="F137" s="4">
        <v>3</v>
      </c>
      <c r="G137" s="4">
        <v>6</v>
      </c>
      <c r="H137" s="4">
        <v>6</v>
      </c>
      <c r="I137" s="4">
        <v>6</v>
      </c>
      <c r="J137" s="4">
        <v>3</v>
      </c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1"/>
      <c r="Y137" s="1"/>
      <c r="Z137" s="1"/>
    </row>
    <row r="138" spans="1:26" ht="15.75" customHeight="1" x14ac:dyDescent="0.4">
      <c r="A138" s="37"/>
      <c r="B138" s="37"/>
      <c r="C138" s="37"/>
      <c r="D138" s="37"/>
      <c r="E138" s="21" t="s">
        <v>89</v>
      </c>
      <c r="F138" s="4">
        <v>3</v>
      </c>
      <c r="G138" s="4">
        <v>6</v>
      </c>
      <c r="H138" s="4">
        <v>6</v>
      </c>
      <c r="I138" s="4">
        <v>6</v>
      </c>
      <c r="J138" s="4">
        <v>3</v>
      </c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6"/>
      <c r="X138" s="1"/>
      <c r="Y138" s="1"/>
      <c r="Z138" s="1"/>
    </row>
    <row r="139" spans="1:26" ht="15.75" customHeight="1" x14ac:dyDescent="0.35">
      <c r="A139" s="43" t="s">
        <v>150</v>
      </c>
      <c r="B139" s="43" t="s">
        <v>151</v>
      </c>
      <c r="C139" s="43">
        <v>16</v>
      </c>
      <c r="D139" s="43">
        <v>16</v>
      </c>
      <c r="E139" s="27" t="s">
        <v>27</v>
      </c>
      <c r="F139" s="28">
        <v>3</v>
      </c>
      <c r="G139" s="28">
        <v>6</v>
      </c>
      <c r="H139" s="28">
        <v>6</v>
      </c>
      <c r="I139" s="28">
        <v>6</v>
      </c>
      <c r="J139" s="28">
        <v>3</v>
      </c>
      <c r="K139" s="41">
        <f>SUM(F139:J142)</f>
        <v>96</v>
      </c>
      <c r="L139" s="41">
        <f>D139*K139</f>
        <v>1536</v>
      </c>
      <c r="M139" s="41">
        <v>48.1</v>
      </c>
      <c r="N139" s="41">
        <v>48.6</v>
      </c>
      <c r="O139" s="41" t="s">
        <v>152</v>
      </c>
      <c r="P139" s="41">
        <f>M139*D139</f>
        <v>769.6</v>
      </c>
      <c r="Q139" s="41">
        <f>N139*D139</f>
        <v>777.6</v>
      </c>
      <c r="R139" s="42">
        <f>0.8*0.42*0.4*D139</f>
        <v>2.1504000000000003</v>
      </c>
      <c r="S139" s="45">
        <v>7</v>
      </c>
      <c r="T139" s="45">
        <f>S139*1536</f>
        <v>10752</v>
      </c>
      <c r="U139" s="43" t="s">
        <v>29</v>
      </c>
      <c r="V139" s="43" t="s">
        <v>102</v>
      </c>
      <c r="W139" s="36"/>
      <c r="X139" s="1"/>
      <c r="Y139" s="1"/>
      <c r="Z139" s="1"/>
    </row>
    <row r="140" spans="1:26" ht="15.75" customHeight="1" x14ac:dyDescent="0.35">
      <c r="A140" s="36"/>
      <c r="B140" s="36"/>
      <c r="C140" s="36"/>
      <c r="D140" s="36"/>
      <c r="E140" s="27" t="s">
        <v>140</v>
      </c>
      <c r="F140" s="28"/>
      <c r="G140" s="28">
        <v>12</v>
      </c>
      <c r="H140" s="28">
        <v>12</v>
      </c>
      <c r="I140" s="28"/>
      <c r="J140" s="28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1"/>
      <c r="Y140" s="1"/>
      <c r="Z140" s="1"/>
    </row>
    <row r="141" spans="1:26" ht="15.75" customHeight="1" x14ac:dyDescent="0.35">
      <c r="A141" s="36"/>
      <c r="B141" s="36"/>
      <c r="C141" s="36"/>
      <c r="D141" s="36"/>
      <c r="E141" s="27" t="s">
        <v>33</v>
      </c>
      <c r="F141" s="28"/>
      <c r="G141" s="28">
        <v>12</v>
      </c>
      <c r="H141" s="28">
        <v>9</v>
      </c>
      <c r="I141" s="28"/>
      <c r="J141" s="28">
        <v>3</v>
      </c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1"/>
      <c r="Y141" s="1"/>
      <c r="Z141" s="1"/>
    </row>
    <row r="142" spans="1:26" ht="15.75" customHeight="1" x14ac:dyDescent="0.35">
      <c r="A142" s="37"/>
      <c r="B142" s="37"/>
      <c r="C142" s="37"/>
      <c r="D142" s="37"/>
      <c r="E142" s="27" t="s">
        <v>62</v>
      </c>
      <c r="F142" s="28"/>
      <c r="G142" s="28">
        <v>12</v>
      </c>
      <c r="H142" s="28">
        <v>12</v>
      </c>
      <c r="I142" s="28"/>
      <c r="J142" s="28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6"/>
      <c r="X142" s="1"/>
      <c r="Y142" s="1"/>
      <c r="Z142" s="1"/>
    </row>
    <row r="143" spans="1:26" ht="15.75" customHeight="1" x14ac:dyDescent="0.4">
      <c r="A143" s="43" t="s">
        <v>153</v>
      </c>
      <c r="B143" s="43" t="s">
        <v>154</v>
      </c>
      <c r="C143" s="43">
        <v>25</v>
      </c>
      <c r="D143" s="43">
        <v>25</v>
      </c>
      <c r="E143" s="21" t="s">
        <v>27</v>
      </c>
      <c r="F143" s="4">
        <v>4</v>
      </c>
      <c r="G143" s="4">
        <v>8</v>
      </c>
      <c r="H143" s="4">
        <v>8</v>
      </c>
      <c r="I143" s="4">
        <v>8</v>
      </c>
      <c r="J143" s="4">
        <v>4</v>
      </c>
      <c r="K143" s="41">
        <f>SUM(F143:J146)</f>
        <v>80</v>
      </c>
      <c r="L143" s="41">
        <f>D143*K143</f>
        <v>2000</v>
      </c>
      <c r="M143" s="41">
        <v>42</v>
      </c>
      <c r="N143" s="41">
        <v>42.5</v>
      </c>
      <c r="O143" s="41" t="s">
        <v>109</v>
      </c>
      <c r="P143" s="41">
        <f>M143*D143</f>
        <v>1050</v>
      </c>
      <c r="Q143" s="41">
        <f>N143*D143</f>
        <v>1062.5</v>
      </c>
      <c r="R143" s="42">
        <f>0.8*0.4*0.4*D143</f>
        <v>3.2000000000000006</v>
      </c>
      <c r="S143" s="45">
        <v>8</v>
      </c>
      <c r="T143" s="45">
        <f>S143*2000</f>
        <v>16000</v>
      </c>
      <c r="U143" s="43" t="s">
        <v>29</v>
      </c>
      <c r="V143" s="43" t="s">
        <v>102</v>
      </c>
      <c r="W143" s="36"/>
      <c r="X143" s="1"/>
      <c r="Y143" s="1"/>
      <c r="Z143" s="1"/>
    </row>
    <row r="144" spans="1:26" ht="15.75" customHeight="1" x14ac:dyDescent="0.4">
      <c r="A144" s="36"/>
      <c r="B144" s="36"/>
      <c r="C144" s="36"/>
      <c r="D144" s="36"/>
      <c r="E144" s="21" t="s">
        <v>62</v>
      </c>
      <c r="F144" s="4">
        <v>2</v>
      </c>
      <c r="G144" s="4">
        <v>4</v>
      </c>
      <c r="H144" s="4">
        <v>4</v>
      </c>
      <c r="I144" s="4">
        <v>4</v>
      </c>
      <c r="J144" s="4">
        <v>2</v>
      </c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1"/>
      <c r="Y144" s="1"/>
      <c r="Z144" s="1"/>
    </row>
    <row r="145" spans="1:26" ht="15.75" customHeight="1" x14ac:dyDescent="0.4">
      <c r="A145" s="36"/>
      <c r="B145" s="36"/>
      <c r="C145" s="36"/>
      <c r="D145" s="36"/>
      <c r="E145" s="21" t="s">
        <v>33</v>
      </c>
      <c r="F145" s="4">
        <v>2</v>
      </c>
      <c r="G145" s="4">
        <v>4</v>
      </c>
      <c r="H145" s="4">
        <v>4</v>
      </c>
      <c r="I145" s="4">
        <v>4</v>
      </c>
      <c r="J145" s="4">
        <v>2</v>
      </c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1"/>
      <c r="Y145" s="1"/>
      <c r="Z145" s="1"/>
    </row>
    <row r="146" spans="1:26" ht="15.75" customHeight="1" x14ac:dyDescent="0.4">
      <c r="A146" s="37"/>
      <c r="B146" s="37"/>
      <c r="C146" s="37"/>
      <c r="D146" s="37"/>
      <c r="E146" s="21" t="s">
        <v>113</v>
      </c>
      <c r="F146" s="4">
        <v>2</v>
      </c>
      <c r="G146" s="4">
        <v>4</v>
      </c>
      <c r="H146" s="4">
        <v>4</v>
      </c>
      <c r="I146" s="4">
        <v>4</v>
      </c>
      <c r="J146" s="4">
        <v>2</v>
      </c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6"/>
      <c r="X146" s="1"/>
      <c r="Y146" s="1"/>
      <c r="Z146" s="1"/>
    </row>
    <row r="147" spans="1:26" ht="15.75" customHeight="1" x14ac:dyDescent="0.4">
      <c r="A147" s="43" t="s">
        <v>155</v>
      </c>
      <c r="B147" s="43" t="s">
        <v>108</v>
      </c>
      <c r="C147" s="43">
        <v>11</v>
      </c>
      <c r="D147" s="43">
        <v>10</v>
      </c>
      <c r="E147" s="21" t="s">
        <v>27</v>
      </c>
      <c r="F147" s="4">
        <v>6</v>
      </c>
      <c r="G147" s="4">
        <v>12</v>
      </c>
      <c r="H147" s="4">
        <v>12</v>
      </c>
      <c r="I147" s="4">
        <v>12</v>
      </c>
      <c r="J147" s="4">
        <v>6</v>
      </c>
      <c r="K147" s="41">
        <f>SUM(F147:J151)</f>
        <v>108</v>
      </c>
      <c r="L147" s="41">
        <f>D147*K147</f>
        <v>1080</v>
      </c>
      <c r="M147" s="41">
        <v>58.8</v>
      </c>
      <c r="N147" s="41">
        <v>59.3</v>
      </c>
      <c r="O147" s="41" t="s">
        <v>143</v>
      </c>
      <c r="P147" s="41">
        <f>M147*D147</f>
        <v>588</v>
      </c>
      <c r="Q147" s="41">
        <f>N147*D147</f>
        <v>593</v>
      </c>
      <c r="R147" s="42">
        <f>0.8*0.55*0.4*D147</f>
        <v>1.7600000000000005</v>
      </c>
      <c r="S147" s="45">
        <v>6</v>
      </c>
      <c r="T147" s="45">
        <f>S147*1224</f>
        <v>7344</v>
      </c>
      <c r="U147" s="43" t="s">
        <v>29</v>
      </c>
      <c r="V147" s="43" t="s">
        <v>148</v>
      </c>
      <c r="W147" s="36"/>
      <c r="X147" s="1"/>
      <c r="Y147" s="1"/>
      <c r="Z147" s="1"/>
    </row>
    <row r="148" spans="1:26" ht="15.75" customHeight="1" x14ac:dyDescent="0.4">
      <c r="A148" s="36"/>
      <c r="B148" s="36"/>
      <c r="C148" s="36"/>
      <c r="D148" s="36"/>
      <c r="E148" s="21" t="s">
        <v>113</v>
      </c>
      <c r="F148" s="4">
        <v>3</v>
      </c>
      <c r="G148" s="4">
        <v>3</v>
      </c>
      <c r="H148" s="4">
        <v>3</v>
      </c>
      <c r="I148" s="4">
        <v>3</v>
      </c>
      <c r="J148" s="4">
        <v>3</v>
      </c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1"/>
      <c r="Y148" s="1"/>
      <c r="Z148" s="1"/>
    </row>
    <row r="149" spans="1:26" ht="15.75" customHeight="1" x14ac:dyDescent="0.4">
      <c r="A149" s="36"/>
      <c r="B149" s="36"/>
      <c r="C149" s="36"/>
      <c r="D149" s="36"/>
      <c r="E149" s="21" t="s">
        <v>156</v>
      </c>
      <c r="F149" s="4">
        <v>3</v>
      </c>
      <c r="G149" s="4">
        <v>3</v>
      </c>
      <c r="H149" s="4">
        <v>3</v>
      </c>
      <c r="I149" s="4">
        <v>3</v>
      </c>
      <c r="J149" s="4">
        <v>3</v>
      </c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1"/>
      <c r="Y149" s="1"/>
      <c r="Z149" s="1"/>
    </row>
    <row r="150" spans="1:26" ht="15.75" customHeight="1" x14ac:dyDescent="0.4">
      <c r="A150" s="36"/>
      <c r="B150" s="36"/>
      <c r="C150" s="36"/>
      <c r="D150" s="36"/>
      <c r="E150" s="21" t="s">
        <v>76</v>
      </c>
      <c r="F150" s="4">
        <v>3</v>
      </c>
      <c r="G150" s="4">
        <v>3</v>
      </c>
      <c r="H150" s="4">
        <v>3</v>
      </c>
      <c r="I150" s="4">
        <v>3</v>
      </c>
      <c r="J150" s="4">
        <v>3</v>
      </c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1"/>
      <c r="Y150" s="1"/>
      <c r="Z150" s="1"/>
    </row>
    <row r="151" spans="1:26" ht="15.75" customHeight="1" x14ac:dyDescent="0.4">
      <c r="A151" s="36"/>
      <c r="B151" s="37"/>
      <c r="C151" s="36"/>
      <c r="D151" s="37"/>
      <c r="E151" s="21" t="s">
        <v>140</v>
      </c>
      <c r="F151" s="4">
        <v>3</v>
      </c>
      <c r="G151" s="4">
        <v>3</v>
      </c>
      <c r="H151" s="4">
        <v>3</v>
      </c>
      <c r="I151" s="4">
        <v>3</v>
      </c>
      <c r="J151" s="4">
        <v>3</v>
      </c>
      <c r="K151" s="37"/>
      <c r="L151" s="37"/>
      <c r="M151" s="37"/>
      <c r="N151" s="37"/>
      <c r="O151" s="37"/>
      <c r="P151" s="37"/>
      <c r="Q151" s="37"/>
      <c r="R151" s="37"/>
      <c r="S151" s="36"/>
      <c r="T151" s="36"/>
      <c r="U151" s="36"/>
      <c r="V151" s="36"/>
      <c r="W151" s="36"/>
      <c r="X151" s="1"/>
      <c r="Y151" s="1"/>
      <c r="Z151" s="1"/>
    </row>
    <row r="152" spans="1:26" ht="15.75" customHeight="1" x14ac:dyDescent="0.4">
      <c r="A152" s="36"/>
      <c r="B152" s="43">
        <v>11</v>
      </c>
      <c r="C152" s="36"/>
      <c r="D152" s="43">
        <v>1</v>
      </c>
      <c r="E152" s="21" t="s">
        <v>27</v>
      </c>
      <c r="F152" s="4">
        <v>8</v>
      </c>
      <c r="G152" s="4">
        <v>16</v>
      </c>
      <c r="H152" s="4">
        <v>16</v>
      </c>
      <c r="I152" s="4">
        <v>16</v>
      </c>
      <c r="J152" s="4">
        <v>8</v>
      </c>
      <c r="K152" s="41">
        <f>SUM(F152:J156)</f>
        <v>144</v>
      </c>
      <c r="L152" s="41">
        <f>D152*K152</f>
        <v>144</v>
      </c>
      <c r="M152" s="41">
        <v>78.3</v>
      </c>
      <c r="N152" s="41">
        <v>78.8</v>
      </c>
      <c r="O152" s="41" t="s">
        <v>143</v>
      </c>
      <c r="P152" s="41">
        <f>M152*D152</f>
        <v>78.3</v>
      </c>
      <c r="Q152" s="41">
        <f>N152*D152</f>
        <v>78.8</v>
      </c>
      <c r="R152" s="42">
        <f>0.8*0.55*0.4*D152</f>
        <v>0.17600000000000005</v>
      </c>
      <c r="S152" s="36"/>
      <c r="T152" s="36"/>
      <c r="U152" s="36"/>
      <c r="V152" s="36"/>
      <c r="W152" s="36"/>
      <c r="X152" s="1"/>
      <c r="Y152" s="1"/>
      <c r="Z152" s="1"/>
    </row>
    <row r="153" spans="1:26" ht="15.75" customHeight="1" x14ac:dyDescent="0.4">
      <c r="A153" s="36"/>
      <c r="B153" s="36"/>
      <c r="C153" s="36"/>
      <c r="D153" s="36"/>
      <c r="E153" s="21" t="s">
        <v>113</v>
      </c>
      <c r="F153" s="4">
        <v>4</v>
      </c>
      <c r="G153" s="4">
        <v>4</v>
      </c>
      <c r="H153" s="4">
        <v>4</v>
      </c>
      <c r="I153" s="4">
        <v>4</v>
      </c>
      <c r="J153" s="4">
        <v>4</v>
      </c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1"/>
      <c r="Y153" s="1"/>
      <c r="Z153" s="1"/>
    </row>
    <row r="154" spans="1:26" ht="15.75" customHeight="1" x14ac:dyDescent="0.4">
      <c r="A154" s="36"/>
      <c r="B154" s="36"/>
      <c r="C154" s="36"/>
      <c r="D154" s="36"/>
      <c r="E154" s="21" t="s">
        <v>156</v>
      </c>
      <c r="F154" s="4">
        <v>4</v>
      </c>
      <c r="G154" s="4">
        <v>4</v>
      </c>
      <c r="H154" s="4">
        <v>4</v>
      </c>
      <c r="I154" s="4">
        <v>4</v>
      </c>
      <c r="J154" s="4">
        <v>4</v>
      </c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1"/>
      <c r="Y154" s="1"/>
      <c r="Z154" s="1"/>
    </row>
    <row r="155" spans="1:26" ht="15.75" customHeight="1" x14ac:dyDescent="0.4">
      <c r="A155" s="36"/>
      <c r="B155" s="36"/>
      <c r="C155" s="36"/>
      <c r="D155" s="36"/>
      <c r="E155" s="21" t="s">
        <v>76</v>
      </c>
      <c r="F155" s="4">
        <v>4</v>
      </c>
      <c r="G155" s="4">
        <v>4</v>
      </c>
      <c r="H155" s="4">
        <v>4</v>
      </c>
      <c r="I155" s="4">
        <v>4</v>
      </c>
      <c r="J155" s="4">
        <v>4</v>
      </c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1"/>
      <c r="Y155" s="1"/>
      <c r="Z155" s="1"/>
    </row>
    <row r="156" spans="1:26" ht="15.75" customHeight="1" x14ac:dyDescent="0.4">
      <c r="A156" s="37"/>
      <c r="B156" s="37"/>
      <c r="C156" s="37"/>
      <c r="D156" s="37"/>
      <c r="E156" s="21" t="s">
        <v>140</v>
      </c>
      <c r="F156" s="4">
        <v>4</v>
      </c>
      <c r="G156" s="4">
        <v>4</v>
      </c>
      <c r="H156" s="4">
        <v>4</v>
      </c>
      <c r="I156" s="4">
        <v>4</v>
      </c>
      <c r="J156" s="4">
        <v>4</v>
      </c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6"/>
      <c r="X156" s="1"/>
      <c r="Y156" s="1"/>
      <c r="Z156" s="1"/>
    </row>
    <row r="157" spans="1:26" ht="15.75" customHeight="1" x14ac:dyDescent="0.4">
      <c r="A157" s="43" t="s">
        <v>157</v>
      </c>
      <c r="B157" s="43" t="s">
        <v>37</v>
      </c>
      <c r="C157" s="43">
        <v>5</v>
      </c>
      <c r="D157" s="43">
        <v>4</v>
      </c>
      <c r="E157" s="21" t="s">
        <v>27</v>
      </c>
      <c r="F157" s="4">
        <v>12</v>
      </c>
      <c r="G157" s="4">
        <v>12</v>
      </c>
      <c r="H157" s="4">
        <v>12</v>
      </c>
      <c r="I157" s="4">
        <v>12</v>
      </c>
      <c r="J157" s="4"/>
      <c r="K157" s="41">
        <f>SUM(F157:J159)</f>
        <v>96</v>
      </c>
      <c r="L157" s="41">
        <f>D157*K157</f>
        <v>384</v>
      </c>
      <c r="M157" s="41">
        <v>54.2</v>
      </c>
      <c r="N157" s="41">
        <v>54.7</v>
      </c>
      <c r="O157" s="41" t="s">
        <v>109</v>
      </c>
      <c r="P157" s="41">
        <f>M157*D157</f>
        <v>216.8</v>
      </c>
      <c r="Q157" s="41">
        <f>N157*D157</f>
        <v>218.8</v>
      </c>
      <c r="R157" s="42">
        <f>0.8*0.4*0.4*D157</f>
        <v>0.51200000000000012</v>
      </c>
      <c r="S157" s="45">
        <v>5.5</v>
      </c>
      <c r="T157" s="45">
        <f>S157*(L157+L160)</f>
        <v>2816</v>
      </c>
      <c r="U157" s="43" t="s">
        <v>29</v>
      </c>
      <c r="V157" s="43" t="s">
        <v>148</v>
      </c>
      <c r="W157" s="36"/>
      <c r="X157" s="1"/>
      <c r="Y157" s="1"/>
      <c r="Z157" s="1"/>
    </row>
    <row r="158" spans="1:26" ht="15.75" customHeight="1" x14ac:dyDescent="0.4">
      <c r="A158" s="36"/>
      <c r="B158" s="36"/>
      <c r="C158" s="36"/>
      <c r="D158" s="36"/>
      <c r="E158" s="21" t="s">
        <v>111</v>
      </c>
      <c r="F158" s="4"/>
      <c r="G158" s="4">
        <v>12</v>
      </c>
      <c r="H158" s="4">
        <v>6</v>
      </c>
      <c r="I158" s="4">
        <v>6</v>
      </c>
      <c r="J158" s="4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1"/>
      <c r="Y158" s="1"/>
      <c r="Z158" s="1"/>
    </row>
    <row r="159" spans="1:26" ht="15.75" customHeight="1" x14ac:dyDescent="0.4">
      <c r="A159" s="36"/>
      <c r="B159" s="37"/>
      <c r="C159" s="36"/>
      <c r="D159" s="37"/>
      <c r="E159" s="21" t="s">
        <v>145</v>
      </c>
      <c r="F159" s="4">
        <v>6</v>
      </c>
      <c r="G159" s="4">
        <v>6</v>
      </c>
      <c r="H159" s="4">
        <v>6</v>
      </c>
      <c r="I159" s="4">
        <v>6</v>
      </c>
      <c r="J159" s="4"/>
      <c r="K159" s="37"/>
      <c r="L159" s="37"/>
      <c r="M159" s="37"/>
      <c r="N159" s="37"/>
      <c r="O159" s="37"/>
      <c r="P159" s="37"/>
      <c r="Q159" s="37"/>
      <c r="R159" s="37"/>
      <c r="S159" s="36"/>
      <c r="T159" s="36"/>
      <c r="U159" s="36"/>
      <c r="V159" s="36"/>
      <c r="W159" s="36"/>
      <c r="X159" s="1"/>
      <c r="Y159" s="1"/>
      <c r="Z159" s="1"/>
    </row>
    <row r="160" spans="1:26" ht="15.75" customHeight="1" x14ac:dyDescent="0.4">
      <c r="A160" s="36"/>
      <c r="B160" s="43">
        <v>5</v>
      </c>
      <c r="C160" s="36"/>
      <c r="D160" s="43">
        <v>1</v>
      </c>
      <c r="E160" s="21" t="s">
        <v>27</v>
      </c>
      <c r="F160" s="4">
        <v>16</v>
      </c>
      <c r="G160" s="4">
        <v>16</v>
      </c>
      <c r="H160" s="4">
        <v>16</v>
      </c>
      <c r="I160" s="4">
        <v>16</v>
      </c>
      <c r="J160" s="4"/>
      <c r="K160" s="41">
        <f>SUM(F160:J162)</f>
        <v>128</v>
      </c>
      <c r="L160" s="41">
        <f>D160*K160</f>
        <v>128</v>
      </c>
      <c r="M160" s="43">
        <v>72.099999999999994</v>
      </c>
      <c r="N160" s="43">
        <v>72.599999999999994</v>
      </c>
      <c r="O160" s="41" t="s">
        <v>109</v>
      </c>
      <c r="P160" s="41">
        <f>M160*D160</f>
        <v>72.099999999999994</v>
      </c>
      <c r="Q160" s="41">
        <f>N160*D160</f>
        <v>72.599999999999994</v>
      </c>
      <c r="R160" s="42">
        <f>0.8*0.4*0.4*D160</f>
        <v>0.12800000000000003</v>
      </c>
      <c r="S160" s="36"/>
      <c r="T160" s="36"/>
      <c r="U160" s="36"/>
      <c r="V160" s="36"/>
      <c r="W160" s="36"/>
      <c r="X160" s="1"/>
      <c r="Y160" s="1"/>
      <c r="Z160" s="1"/>
    </row>
    <row r="161" spans="1:26" ht="15.75" customHeight="1" x14ac:dyDescent="0.4">
      <c r="A161" s="36"/>
      <c r="B161" s="36"/>
      <c r="C161" s="36"/>
      <c r="D161" s="36"/>
      <c r="E161" s="21" t="s">
        <v>111</v>
      </c>
      <c r="F161" s="4"/>
      <c r="G161" s="4">
        <v>16</v>
      </c>
      <c r="H161" s="4">
        <v>8</v>
      </c>
      <c r="I161" s="4">
        <v>8</v>
      </c>
      <c r="J161" s="4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1"/>
      <c r="Y161" s="1"/>
      <c r="Z161" s="1"/>
    </row>
    <row r="162" spans="1:26" ht="15.75" customHeight="1" x14ac:dyDescent="0.4">
      <c r="A162" s="37"/>
      <c r="B162" s="37"/>
      <c r="C162" s="37"/>
      <c r="D162" s="37"/>
      <c r="E162" s="21" t="s">
        <v>145</v>
      </c>
      <c r="F162" s="4">
        <v>8</v>
      </c>
      <c r="G162" s="4">
        <v>8</v>
      </c>
      <c r="H162" s="4">
        <v>8</v>
      </c>
      <c r="I162" s="4">
        <v>8</v>
      </c>
      <c r="J162" s="4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6"/>
      <c r="X162" s="1"/>
      <c r="Y162" s="1"/>
      <c r="Z162" s="1"/>
    </row>
    <row r="163" spans="1:26" ht="15.75" customHeight="1" x14ac:dyDescent="0.4">
      <c r="A163" s="43" t="s">
        <v>158</v>
      </c>
      <c r="B163" s="43" t="s">
        <v>108</v>
      </c>
      <c r="C163" s="43">
        <v>10</v>
      </c>
      <c r="D163" s="43">
        <v>10</v>
      </c>
      <c r="E163" s="27" t="s">
        <v>27</v>
      </c>
      <c r="F163" s="29">
        <v>4</v>
      </c>
      <c r="G163" s="29">
        <v>8</v>
      </c>
      <c r="H163" s="29">
        <v>8</v>
      </c>
      <c r="I163" s="29">
        <v>8</v>
      </c>
      <c r="J163" s="29">
        <v>4</v>
      </c>
      <c r="K163" s="41">
        <f>SUM(F163:J166)</f>
        <v>96</v>
      </c>
      <c r="L163" s="41">
        <f>D163*K163</f>
        <v>960</v>
      </c>
      <c r="M163" s="41">
        <v>53.5</v>
      </c>
      <c r="N163" s="41">
        <v>54</v>
      </c>
      <c r="O163" s="41" t="s">
        <v>109</v>
      </c>
      <c r="P163" s="41">
        <f>M163*D163</f>
        <v>535</v>
      </c>
      <c r="Q163" s="41">
        <f>N163*D163</f>
        <v>540</v>
      </c>
      <c r="R163" s="42">
        <f>0.8*0.4*0.4*D163</f>
        <v>1.2800000000000002</v>
      </c>
      <c r="S163" s="45">
        <v>5.5</v>
      </c>
      <c r="T163" s="45">
        <f>S163*L163</f>
        <v>5280</v>
      </c>
      <c r="U163" s="43" t="s">
        <v>29</v>
      </c>
      <c r="V163" s="43" t="s">
        <v>148</v>
      </c>
      <c r="W163" s="36"/>
      <c r="X163" s="1"/>
      <c r="Y163" s="1"/>
      <c r="Z163" s="1"/>
    </row>
    <row r="164" spans="1:26" ht="15.75" customHeight="1" x14ac:dyDescent="0.4">
      <c r="A164" s="36"/>
      <c r="B164" s="36"/>
      <c r="C164" s="36"/>
      <c r="D164" s="36"/>
      <c r="E164" s="27" t="s">
        <v>113</v>
      </c>
      <c r="F164" s="29">
        <v>4</v>
      </c>
      <c r="G164" s="29">
        <v>8</v>
      </c>
      <c r="H164" s="29">
        <v>8</v>
      </c>
      <c r="I164" s="29">
        <v>8</v>
      </c>
      <c r="J164" s="29">
        <v>4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1"/>
      <c r="Y164" s="1"/>
      <c r="Z164" s="1"/>
    </row>
    <row r="165" spans="1:26" ht="15.75" customHeight="1" x14ac:dyDescent="0.4">
      <c r="A165" s="36"/>
      <c r="B165" s="36"/>
      <c r="C165" s="36"/>
      <c r="D165" s="36"/>
      <c r="E165" s="27" t="s">
        <v>159</v>
      </c>
      <c r="F165" s="29">
        <v>1</v>
      </c>
      <c r="G165" s="29">
        <v>2</v>
      </c>
      <c r="H165" s="29">
        <v>1</v>
      </c>
      <c r="I165" s="29">
        <v>3</v>
      </c>
      <c r="J165" s="29">
        <v>1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1"/>
      <c r="Y165" s="1"/>
      <c r="Z165" s="1"/>
    </row>
    <row r="166" spans="1:26" ht="15.75" customHeight="1" x14ac:dyDescent="0.4">
      <c r="A166" s="37"/>
      <c r="B166" s="37"/>
      <c r="C166" s="37"/>
      <c r="D166" s="37"/>
      <c r="E166" s="27" t="s">
        <v>160</v>
      </c>
      <c r="F166" s="29"/>
      <c r="G166" s="29">
        <v>9</v>
      </c>
      <c r="H166" s="29"/>
      <c r="I166" s="29">
        <v>12</v>
      </c>
      <c r="J166" s="29">
        <v>3</v>
      </c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6"/>
      <c r="X166" s="1"/>
      <c r="Y166" s="1"/>
      <c r="Z166" s="1"/>
    </row>
    <row r="167" spans="1:26" ht="15.75" customHeight="1" x14ac:dyDescent="0.4">
      <c r="A167" s="43" t="s">
        <v>161</v>
      </c>
      <c r="B167" s="43" t="s">
        <v>108</v>
      </c>
      <c r="C167" s="43">
        <v>10</v>
      </c>
      <c r="D167" s="43">
        <v>10</v>
      </c>
      <c r="E167" s="21" t="s">
        <v>27</v>
      </c>
      <c r="F167" s="4">
        <v>4</v>
      </c>
      <c r="G167" s="4">
        <v>4</v>
      </c>
      <c r="H167" s="4">
        <v>4</v>
      </c>
      <c r="I167" s="4">
        <v>4</v>
      </c>
      <c r="J167" s="4">
        <v>4</v>
      </c>
      <c r="K167" s="41">
        <f>SUM(F167:J170)</f>
        <v>80</v>
      </c>
      <c r="L167" s="41">
        <f>D167*K167</f>
        <v>800</v>
      </c>
      <c r="M167" s="41">
        <v>37.5</v>
      </c>
      <c r="N167" s="41">
        <v>38</v>
      </c>
      <c r="O167" s="41" t="s">
        <v>152</v>
      </c>
      <c r="P167" s="41">
        <f>M167*D167</f>
        <v>375</v>
      </c>
      <c r="Q167" s="41">
        <f>N167*D167</f>
        <v>380</v>
      </c>
      <c r="R167" s="42">
        <f>0.8*0.42*0.4*D167</f>
        <v>1.3440000000000003</v>
      </c>
      <c r="S167" s="45">
        <v>8</v>
      </c>
      <c r="T167" s="45">
        <f>S167*L167</f>
        <v>6400</v>
      </c>
      <c r="U167" s="43" t="s">
        <v>29</v>
      </c>
      <c r="V167" s="43" t="s">
        <v>148</v>
      </c>
      <c r="W167" s="36"/>
      <c r="X167" s="1"/>
      <c r="Y167" s="1"/>
      <c r="Z167" s="1"/>
    </row>
    <row r="168" spans="1:26" ht="15.75" customHeight="1" x14ac:dyDescent="0.4">
      <c r="A168" s="36"/>
      <c r="B168" s="36"/>
      <c r="C168" s="36"/>
      <c r="D168" s="36"/>
      <c r="E168" s="21" t="s">
        <v>71</v>
      </c>
      <c r="F168" s="4">
        <v>4</v>
      </c>
      <c r="G168" s="4">
        <v>4</v>
      </c>
      <c r="H168" s="4">
        <v>4</v>
      </c>
      <c r="I168" s="4">
        <v>4</v>
      </c>
      <c r="J168" s="4">
        <v>4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1"/>
      <c r="Y168" s="1"/>
      <c r="Z168" s="1"/>
    </row>
    <row r="169" spans="1:26" ht="15.75" customHeight="1" x14ac:dyDescent="0.4">
      <c r="A169" s="36"/>
      <c r="B169" s="36"/>
      <c r="C169" s="36"/>
      <c r="D169" s="36"/>
      <c r="E169" s="21" t="s">
        <v>112</v>
      </c>
      <c r="F169" s="4">
        <v>4</v>
      </c>
      <c r="G169" s="4">
        <v>4</v>
      </c>
      <c r="H169" s="4">
        <v>4</v>
      </c>
      <c r="I169" s="4">
        <v>4</v>
      </c>
      <c r="J169" s="4">
        <v>4</v>
      </c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1"/>
      <c r="Y169" s="1"/>
      <c r="Z169" s="1"/>
    </row>
    <row r="170" spans="1:26" ht="15.75" customHeight="1" x14ac:dyDescent="0.4">
      <c r="A170" s="37"/>
      <c r="B170" s="37"/>
      <c r="C170" s="37"/>
      <c r="D170" s="37"/>
      <c r="E170" s="21" t="s">
        <v>113</v>
      </c>
      <c r="F170" s="4">
        <v>4</v>
      </c>
      <c r="G170" s="4">
        <v>4</v>
      </c>
      <c r="H170" s="4">
        <v>4</v>
      </c>
      <c r="I170" s="4">
        <v>4</v>
      </c>
      <c r="J170" s="4">
        <v>4</v>
      </c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6"/>
      <c r="X170" s="1"/>
      <c r="Y170" s="1"/>
      <c r="Z170" s="1"/>
    </row>
    <row r="171" spans="1:26" ht="20.25" customHeight="1" x14ac:dyDescent="0.35">
      <c r="A171" s="43" t="s">
        <v>162</v>
      </c>
      <c r="B171" s="43" t="s">
        <v>34</v>
      </c>
      <c r="C171" s="43">
        <v>12</v>
      </c>
      <c r="D171" s="43">
        <v>12</v>
      </c>
      <c r="E171" s="30" t="s">
        <v>27</v>
      </c>
      <c r="F171" s="28">
        <v>4</v>
      </c>
      <c r="G171" s="28">
        <v>8</v>
      </c>
      <c r="H171" s="28">
        <v>8</v>
      </c>
      <c r="I171" s="28">
        <v>8</v>
      </c>
      <c r="J171" s="28">
        <v>4</v>
      </c>
      <c r="K171" s="41">
        <f>SUM(F171:J173)</f>
        <v>96</v>
      </c>
      <c r="L171" s="41">
        <f>D171*K171</f>
        <v>1152</v>
      </c>
      <c r="M171" s="41">
        <v>48.9</v>
      </c>
      <c r="N171" s="41">
        <v>49.4</v>
      </c>
      <c r="O171" s="41" t="s">
        <v>109</v>
      </c>
      <c r="P171" s="41">
        <f>M171*D171</f>
        <v>586.79999999999995</v>
      </c>
      <c r="Q171" s="41">
        <f>N171*D171</f>
        <v>592.79999999999995</v>
      </c>
      <c r="R171" s="42">
        <f>0.8*0.4*0.4*D171</f>
        <v>1.5360000000000005</v>
      </c>
      <c r="S171" s="45">
        <v>6.5</v>
      </c>
      <c r="T171" s="45">
        <f>S171*L171</f>
        <v>7488</v>
      </c>
      <c r="U171" s="43" t="s">
        <v>29</v>
      </c>
      <c r="V171" s="43" t="s">
        <v>102</v>
      </c>
      <c r="W171" s="36"/>
      <c r="X171" s="1"/>
      <c r="Y171" s="1"/>
      <c r="Z171" s="1"/>
    </row>
    <row r="172" spans="1:26" ht="20.25" customHeight="1" x14ac:dyDescent="0.35">
      <c r="A172" s="36"/>
      <c r="B172" s="36"/>
      <c r="C172" s="36"/>
      <c r="D172" s="36"/>
      <c r="E172" s="30" t="s">
        <v>163</v>
      </c>
      <c r="F172" s="28">
        <v>4</v>
      </c>
      <c r="G172" s="28">
        <v>8</v>
      </c>
      <c r="H172" s="28">
        <v>8</v>
      </c>
      <c r="I172" s="28">
        <v>8</v>
      </c>
      <c r="J172" s="28">
        <v>4</v>
      </c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1"/>
      <c r="Y172" s="1"/>
      <c r="Z172" s="1"/>
    </row>
    <row r="173" spans="1:26" ht="20.25" customHeight="1" x14ac:dyDescent="0.35">
      <c r="A173" s="37"/>
      <c r="B173" s="37"/>
      <c r="C173" s="37"/>
      <c r="D173" s="37"/>
      <c r="E173" s="30" t="s">
        <v>62</v>
      </c>
      <c r="F173" s="28">
        <v>4</v>
      </c>
      <c r="G173" s="28">
        <v>8</v>
      </c>
      <c r="H173" s="28">
        <v>8</v>
      </c>
      <c r="I173" s="28">
        <v>8</v>
      </c>
      <c r="J173" s="28">
        <v>4</v>
      </c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6"/>
      <c r="X173" s="1"/>
      <c r="Y173" s="1"/>
      <c r="Z173" s="1"/>
    </row>
    <row r="174" spans="1:26" ht="38.25" customHeight="1" x14ac:dyDescent="0.35">
      <c r="A174" s="43" t="s">
        <v>164</v>
      </c>
      <c r="B174" s="43" t="s">
        <v>86</v>
      </c>
      <c r="C174" s="43">
        <v>5</v>
      </c>
      <c r="D174" s="43">
        <v>5</v>
      </c>
      <c r="E174" s="30" t="s">
        <v>27</v>
      </c>
      <c r="F174" s="28">
        <v>16</v>
      </c>
      <c r="G174" s="28">
        <v>16</v>
      </c>
      <c r="H174" s="28">
        <v>16</v>
      </c>
      <c r="I174" s="28">
        <v>16</v>
      </c>
      <c r="J174" s="28">
        <v>16</v>
      </c>
      <c r="K174" s="41">
        <f>SUM(F174:J175)</f>
        <v>120</v>
      </c>
      <c r="L174" s="41">
        <f>D174*K174</f>
        <v>600</v>
      </c>
      <c r="M174" s="41">
        <v>54.5</v>
      </c>
      <c r="N174" s="41">
        <v>56</v>
      </c>
      <c r="O174" s="41" t="s">
        <v>165</v>
      </c>
      <c r="P174" s="41">
        <f>D174*M174</f>
        <v>272.5</v>
      </c>
      <c r="Q174" s="41">
        <f>D174*N174</f>
        <v>280</v>
      </c>
      <c r="R174" s="42">
        <f>0.8*0.48*0.54*D174</f>
        <v>1.0368000000000002</v>
      </c>
      <c r="S174" s="45">
        <v>7.5</v>
      </c>
      <c r="T174" s="45">
        <f>S174*L174</f>
        <v>4500</v>
      </c>
      <c r="U174" s="43" t="s">
        <v>29</v>
      </c>
      <c r="V174" s="43" t="s">
        <v>148</v>
      </c>
      <c r="W174" s="36"/>
      <c r="X174" s="1"/>
      <c r="Y174" s="1"/>
      <c r="Z174" s="1"/>
    </row>
    <row r="175" spans="1:26" ht="38.25" customHeight="1" x14ac:dyDescent="0.35">
      <c r="A175" s="37"/>
      <c r="B175" s="37"/>
      <c r="C175" s="37"/>
      <c r="D175" s="37"/>
      <c r="E175" s="30" t="s">
        <v>32</v>
      </c>
      <c r="F175" s="28">
        <v>8</v>
      </c>
      <c r="G175" s="28">
        <v>8</v>
      </c>
      <c r="H175" s="28">
        <v>8</v>
      </c>
      <c r="I175" s="28">
        <v>8</v>
      </c>
      <c r="J175" s="28">
        <v>8</v>
      </c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6"/>
      <c r="X175" s="1"/>
      <c r="Y175" s="1"/>
      <c r="Z175" s="1"/>
    </row>
    <row r="176" spans="1:26" ht="15.75" customHeight="1" x14ac:dyDescent="0.35">
      <c r="A176" s="43" t="s">
        <v>166</v>
      </c>
      <c r="B176" s="43" t="s">
        <v>73</v>
      </c>
      <c r="C176" s="43">
        <v>7</v>
      </c>
      <c r="D176" s="43">
        <v>7</v>
      </c>
      <c r="E176" s="30" t="s">
        <v>27</v>
      </c>
      <c r="F176" s="28">
        <v>4</v>
      </c>
      <c r="G176" s="28">
        <v>4</v>
      </c>
      <c r="H176" s="28">
        <v>4</v>
      </c>
      <c r="I176" s="28">
        <v>4</v>
      </c>
      <c r="J176" s="28"/>
      <c r="K176" s="41">
        <f>SUM(F176:J181)</f>
        <v>96</v>
      </c>
      <c r="L176" s="41">
        <f>D176*K176</f>
        <v>672</v>
      </c>
      <c r="M176" s="41">
        <v>44.5</v>
      </c>
      <c r="N176" s="41">
        <v>46</v>
      </c>
      <c r="O176" s="41" t="s">
        <v>167</v>
      </c>
      <c r="P176" s="41">
        <f>D176*M176</f>
        <v>311.5</v>
      </c>
      <c r="Q176" s="41">
        <f>D176*N176</f>
        <v>322</v>
      </c>
      <c r="R176" s="42">
        <f>0.8*0.48*0.5*D176</f>
        <v>1.3440000000000001</v>
      </c>
      <c r="S176" s="45">
        <v>7</v>
      </c>
      <c r="T176" s="45">
        <f>S176*L176</f>
        <v>4704</v>
      </c>
      <c r="U176" s="43" t="s">
        <v>29</v>
      </c>
      <c r="V176" s="43" t="s">
        <v>102</v>
      </c>
      <c r="W176" s="36"/>
      <c r="X176" s="1"/>
      <c r="Y176" s="1"/>
      <c r="Z176" s="1"/>
    </row>
    <row r="177" spans="1:26" ht="15.75" customHeight="1" x14ac:dyDescent="0.35">
      <c r="A177" s="36"/>
      <c r="B177" s="36"/>
      <c r="C177" s="36"/>
      <c r="D177" s="36"/>
      <c r="E177" s="30" t="s">
        <v>33</v>
      </c>
      <c r="F177" s="28">
        <v>4</v>
      </c>
      <c r="G177" s="28">
        <v>4</v>
      </c>
      <c r="H177" s="28">
        <v>4</v>
      </c>
      <c r="I177" s="28">
        <v>4</v>
      </c>
      <c r="J177" s="28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1"/>
      <c r="Y177" s="1"/>
      <c r="Z177" s="1"/>
    </row>
    <row r="178" spans="1:26" ht="15.75" customHeight="1" x14ac:dyDescent="0.35">
      <c r="A178" s="36"/>
      <c r="B178" s="36"/>
      <c r="C178" s="36"/>
      <c r="D178" s="36"/>
      <c r="E178" s="30" t="s">
        <v>62</v>
      </c>
      <c r="F178" s="28">
        <v>4</v>
      </c>
      <c r="G178" s="28">
        <v>4</v>
      </c>
      <c r="H178" s="28">
        <v>4</v>
      </c>
      <c r="I178" s="28">
        <v>4</v>
      </c>
      <c r="J178" s="28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1"/>
      <c r="Y178" s="1"/>
      <c r="Z178" s="1"/>
    </row>
    <row r="179" spans="1:26" ht="15.75" customHeight="1" x14ac:dyDescent="0.35">
      <c r="A179" s="36"/>
      <c r="B179" s="36"/>
      <c r="C179" s="36"/>
      <c r="D179" s="36"/>
      <c r="E179" s="30" t="s">
        <v>52</v>
      </c>
      <c r="F179" s="28">
        <v>4</v>
      </c>
      <c r="G179" s="28">
        <v>4</v>
      </c>
      <c r="H179" s="28">
        <v>4</v>
      </c>
      <c r="I179" s="28">
        <v>4</v>
      </c>
      <c r="J179" s="28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1"/>
      <c r="Y179" s="1"/>
      <c r="Z179" s="1"/>
    </row>
    <row r="180" spans="1:26" ht="15.75" customHeight="1" x14ac:dyDescent="0.35">
      <c r="A180" s="36"/>
      <c r="B180" s="36"/>
      <c r="C180" s="36"/>
      <c r="D180" s="36"/>
      <c r="E180" s="30" t="s">
        <v>76</v>
      </c>
      <c r="F180" s="28">
        <v>4</v>
      </c>
      <c r="G180" s="28">
        <v>4</v>
      </c>
      <c r="H180" s="28">
        <v>4</v>
      </c>
      <c r="I180" s="28">
        <v>4</v>
      </c>
      <c r="J180" s="28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1"/>
      <c r="Y180" s="1"/>
      <c r="Z180" s="1"/>
    </row>
    <row r="181" spans="1:26" ht="15.75" customHeight="1" x14ac:dyDescent="0.35">
      <c r="A181" s="37"/>
      <c r="B181" s="37"/>
      <c r="C181" s="37"/>
      <c r="D181" s="37"/>
      <c r="E181" s="30" t="s">
        <v>140</v>
      </c>
      <c r="F181" s="28">
        <v>4</v>
      </c>
      <c r="G181" s="28">
        <v>4</v>
      </c>
      <c r="H181" s="28">
        <v>4</v>
      </c>
      <c r="I181" s="28">
        <v>4</v>
      </c>
      <c r="J181" s="28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6"/>
      <c r="X181" s="1"/>
      <c r="Y181" s="1"/>
      <c r="Z181" s="1"/>
    </row>
    <row r="182" spans="1:26" ht="15.75" customHeight="1" x14ac:dyDescent="0.35">
      <c r="A182" s="44" t="s">
        <v>168</v>
      </c>
      <c r="B182" s="44" t="s">
        <v>55</v>
      </c>
      <c r="C182" s="44">
        <v>8</v>
      </c>
      <c r="D182" s="44">
        <v>8</v>
      </c>
      <c r="E182" s="30" t="s">
        <v>27</v>
      </c>
      <c r="F182" s="28">
        <v>12</v>
      </c>
      <c r="G182" s="28">
        <v>12</v>
      </c>
      <c r="H182" s="28">
        <v>12</v>
      </c>
      <c r="I182" s="28">
        <v>12</v>
      </c>
      <c r="J182" s="28">
        <v>12</v>
      </c>
      <c r="K182" s="38">
        <f>SUM(F182:J187)</f>
        <v>135</v>
      </c>
      <c r="L182" s="38">
        <f>D182*K182</f>
        <v>1080</v>
      </c>
      <c r="M182" s="38">
        <v>62.5</v>
      </c>
      <c r="N182" s="38">
        <v>64</v>
      </c>
      <c r="O182" s="38" t="s">
        <v>169</v>
      </c>
      <c r="P182" s="38">
        <f>D182*M182</f>
        <v>500</v>
      </c>
      <c r="Q182" s="38">
        <f>D182*N182</f>
        <v>512</v>
      </c>
      <c r="R182" s="35">
        <f>0.82*0.5*0.65*D182</f>
        <v>2.1320000000000001</v>
      </c>
      <c r="S182" s="45">
        <v>6.25</v>
      </c>
      <c r="T182" s="45">
        <f>S182*L182</f>
        <v>6750</v>
      </c>
      <c r="U182" s="43" t="s">
        <v>29</v>
      </c>
      <c r="V182" s="43" t="s">
        <v>148</v>
      </c>
      <c r="W182" s="36"/>
      <c r="X182" s="1"/>
      <c r="Y182" s="1"/>
      <c r="Z182" s="1"/>
    </row>
    <row r="183" spans="1:26" ht="15.75" customHeight="1" x14ac:dyDescent="0.35">
      <c r="A183" s="36"/>
      <c r="B183" s="36"/>
      <c r="C183" s="36"/>
      <c r="D183" s="36"/>
      <c r="E183" s="30" t="s">
        <v>156</v>
      </c>
      <c r="F183" s="28">
        <v>3</v>
      </c>
      <c r="G183" s="28">
        <v>3</v>
      </c>
      <c r="H183" s="28">
        <v>3</v>
      </c>
      <c r="I183" s="28">
        <v>3</v>
      </c>
      <c r="J183" s="28">
        <v>3</v>
      </c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1"/>
      <c r="Y183" s="1"/>
      <c r="Z183" s="1"/>
    </row>
    <row r="184" spans="1:26" ht="15.75" customHeight="1" x14ac:dyDescent="0.35">
      <c r="A184" s="36"/>
      <c r="B184" s="36"/>
      <c r="C184" s="36"/>
      <c r="D184" s="36"/>
      <c r="E184" s="30" t="s">
        <v>53</v>
      </c>
      <c r="F184" s="28">
        <v>3</v>
      </c>
      <c r="G184" s="28">
        <v>3</v>
      </c>
      <c r="H184" s="28">
        <v>3</v>
      </c>
      <c r="I184" s="28">
        <v>3</v>
      </c>
      <c r="J184" s="28">
        <v>3</v>
      </c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1"/>
      <c r="Y184" s="1"/>
      <c r="Z184" s="1"/>
    </row>
    <row r="185" spans="1:26" ht="15.75" customHeight="1" x14ac:dyDescent="0.35">
      <c r="A185" s="36"/>
      <c r="B185" s="36"/>
      <c r="C185" s="36"/>
      <c r="D185" s="36"/>
      <c r="E185" s="30" t="s">
        <v>52</v>
      </c>
      <c r="F185" s="28">
        <v>3</v>
      </c>
      <c r="G185" s="28">
        <v>3</v>
      </c>
      <c r="H185" s="28">
        <v>3</v>
      </c>
      <c r="I185" s="28">
        <v>3</v>
      </c>
      <c r="J185" s="28">
        <v>3</v>
      </c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1"/>
      <c r="Y185" s="1"/>
      <c r="Z185" s="1"/>
    </row>
    <row r="186" spans="1:26" ht="15.75" customHeight="1" x14ac:dyDescent="0.35">
      <c r="A186" s="36"/>
      <c r="B186" s="36"/>
      <c r="C186" s="36"/>
      <c r="D186" s="36"/>
      <c r="E186" s="30" t="s">
        <v>71</v>
      </c>
      <c r="F186" s="28">
        <v>3</v>
      </c>
      <c r="G186" s="28">
        <v>3</v>
      </c>
      <c r="H186" s="28">
        <v>3</v>
      </c>
      <c r="I186" s="28">
        <v>3</v>
      </c>
      <c r="J186" s="28">
        <v>3</v>
      </c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1"/>
      <c r="Y186" s="1"/>
      <c r="Z186" s="1"/>
    </row>
    <row r="187" spans="1:26" ht="15.75" customHeight="1" x14ac:dyDescent="0.35">
      <c r="A187" s="37"/>
      <c r="B187" s="37"/>
      <c r="C187" s="37"/>
      <c r="D187" s="37"/>
      <c r="E187" s="30" t="s">
        <v>112</v>
      </c>
      <c r="F187" s="28">
        <v>3</v>
      </c>
      <c r="G187" s="28">
        <v>3</v>
      </c>
      <c r="H187" s="28">
        <v>3</v>
      </c>
      <c r="I187" s="28">
        <v>3</v>
      </c>
      <c r="J187" s="28">
        <v>3</v>
      </c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1"/>
      <c r="Y187" s="1"/>
      <c r="Z187" s="1"/>
    </row>
    <row r="188" spans="1:26" ht="16.5" customHeight="1" x14ac:dyDescent="0.4">
      <c r="A188" s="4" t="s">
        <v>21</v>
      </c>
      <c r="B188" s="4"/>
      <c r="C188" s="4"/>
      <c r="D188" s="4">
        <f>SUM(D4:D187)</f>
        <v>466</v>
      </c>
      <c r="E188" s="4"/>
      <c r="F188" s="4"/>
      <c r="G188" s="4"/>
      <c r="H188" s="4"/>
      <c r="I188" s="4"/>
      <c r="J188" s="4"/>
      <c r="K188" s="4"/>
      <c r="L188" s="4">
        <f>SUM(L4:L187)</f>
        <v>29668</v>
      </c>
      <c r="M188" s="4"/>
      <c r="N188" s="4"/>
      <c r="O188" s="4"/>
      <c r="P188" s="4">
        <f t="shared" ref="P188:R188" si="5">SUM(P4:P187)</f>
        <v>17244.099999999999</v>
      </c>
      <c r="Q188" s="4">
        <f t="shared" si="5"/>
        <v>17710.46</v>
      </c>
      <c r="R188" s="31">
        <f t="shared" si="5"/>
        <v>69.769432000000009</v>
      </c>
      <c r="S188" s="2"/>
      <c r="T188" s="2">
        <f>SUM(T182+T176+T174+T171+T167+T163+T157+T147+T143+T139+T131+T125+T117+T113+T105+T93+T85+T73+T69+T63+T59+T55+T50+T44+T38+T34+T29+T24+T21+T19+T13+T7+T4+T101)</f>
        <v>211952.28</v>
      </c>
      <c r="U188" s="1"/>
      <c r="V188" s="1"/>
      <c r="W188" s="1"/>
      <c r="X188" s="1"/>
      <c r="Y188" s="1"/>
      <c r="Z188" s="1"/>
    </row>
    <row r="189" spans="1:26" ht="15.75" customHeight="1" x14ac:dyDescent="0.4">
      <c r="A189" s="39" t="s">
        <v>170</v>
      </c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2"/>
      <c r="T189" s="2"/>
      <c r="U189" s="1"/>
      <c r="V189" s="1"/>
      <c r="W189" s="1"/>
      <c r="X189" s="1"/>
      <c r="Y189" s="1"/>
      <c r="Z189" s="1"/>
    </row>
    <row r="190" spans="1:26" ht="15.75" customHeight="1" x14ac:dyDescent="0.4">
      <c r="E190" s="32"/>
      <c r="L190" s="1"/>
      <c r="M190" s="1"/>
      <c r="N190" s="1"/>
      <c r="O190" s="33"/>
      <c r="P190" s="1"/>
      <c r="Q190" s="1"/>
      <c r="R190" s="34"/>
      <c r="S190" s="2"/>
      <c r="T190" s="2"/>
      <c r="U190" s="1"/>
      <c r="V190" s="1"/>
      <c r="W190" s="1"/>
      <c r="X190" s="1"/>
      <c r="Y190" s="1"/>
      <c r="Z190" s="1"/>
    </row>
    <row r="191" spans="1:26" ht="15.75" customHeight="1" x14ac:dyDescent="0.4">
      <c r="E191" s="32"/>
      <c r="L191" s="1"/>
      <c r="M191" s="1"/>
      <c r="N191" s="1"/>
      <c r="O191" s="33"/>
      <c r="P191" s="1"/>
      <c r="Q191" s="1"/>
      <c r="R191" s="34"/>
      <c r="S191" s="2"/>
      <c r="T191" s="2"/>
      <c r="U191" s="1"/>
      <c r="V191" s="1"/>
      <c r="W191" s="1"/>
      <c r="X191" s="1"/>
      <c r="Y191" s="1"/>
      <c r="Z191" s="1"/>
    </row>
    <row r="192" spans="1:26" ht="34.5" customHeight="1" x14ac:dyDescent="0.4">
      <c r="E192" s="32"/>
      <c r="L192" s="1"/>
      <c r="M192" s="1"/>
      <c r="N192" s="1"/>
      <c r="O192" s="1"/>
      <c r="P192" s="33"/>
      <c r="Q192" s="1"/>
      <c r="R192" s="34"/>
      <c r="S192" s="2"/>
      <c r="T192" s="2"/>
      <c r="U192" s="1"/>
      <c r="V192" s="1"/>
      <c r="W192" s="1"/>
      <c r="X192" s="1"/>
      <c r="Y192" s="1"/>
      <c r="Z192" s="1"/>
    </row>
    <row r="193" spans="5:26" ht="21" customHeight="1" x14ac:dyDescent="0.4">
      <c r="E193" s="32"/>
      <c r="L193" s="1"/>
      <c r="M193" s="1"/>
      <c r="N193" s="1"/>
      <c r="O193" s="1"/>
      <c r="P193" s="33"/>
      <c r="Q193" s="1"/>
      <c r="R193" s="34"/>
      <c r="S193" s="2"/>
      <c r="T193" s="2"/>
      <c r="U193" s="1"/>
      <c r="V193" s="1"/>
      <c r="W193" s="1"/>
      <c r="X193" s="1"/>
      <c r="Y193" s="1"/>
      <c r="Z193" s="1"/>
    </row>
    <row r="194" spans="5:26" ht="15.75" customHeight="1" x14ac:dyDescent="0.4">
      <c r="E194" s="32"/>
      <c r="L194" s="1"/>
      <c r="M194" s="1"/>
      <c r="N194" s="1"/>
      <c r="O194" s="1"/>
      <c r="P194" s="33"/>
      <c r="Q194" s="1"/>
      <c r="R194" s="34"/>
      <c r="S194" s="2"/>
      <c r="T194" s="2"/>
      <c r="U194" s="1"/>
      <c r="V194" s="1"/>
      <c r="W194" s="1"/>
      <c r="X194" s="1"/>
      <c r="Y194" s="1"/>
      <c r="Z194" s="1"/>
    </row>
    <row r="195" spans="5:26" ht="21" customHeight="1" x14ac:dyDescent="0.4">
      <c r="L195" s="1"/>
      <c r="M195" s="1"/>
      <c r="N195" s="1"/>
      <c r="O195" s="1"/>
      <c r="P195" s="33"/>
      <c r="Q195" s="1"/>
      <c r="R195" s="34"/>
      <c r="S195" s="2"/>
      <c r="T195" s="2"/>
      <c r="U195" s="1"/>
      <c r="V195" s="1"/>
      <c r="W195" s="1"/>
      <c r="X195" s="1"/>
      <c r="Y195" s="1"/>
      <c r="Z195" s="1"/>
    </row>
    <row r="196" spans="5:26" ht="21" customHeight="1" x14ac:dyDescent="0.4">
      <c r="L196" s="1"/>
      <c r="M196" s="1"/>
      <c r="N196" s="1"/>
      <c r="O196" s="1"/>
      <c r="P196" s="33"/>
      <c r="Q196" s="1"/>
      <c r="R196" s="34"/>
      <c r="S196" s="2"/>
      <c r="T196" s="2"/>
      <c r="U196" s="1"/>
      <c r="V196" s="1"/>
      <c r="W196" s="1"/>
      <c r="X196" s="1"/>
      <c r="Y196" s="1"/>
      <c r="Z196" s="1"/>
    </row>
    <row r="197" spans="5:26" ht="15.75" customHeight="1" x14ac:dyDescent="0.4">
      <c r="L197" s="1"/>
      <c r="M197" s="1"/>
      <c r="N197" s="1"/>
      <c r="O197" s="1"/>
      <c r="P197" s="1"/>
      <c r="Q197" s="1"/>
      <c r="R197" s="34"/>
      <c r="S197" s="2"/>
      <c r="T197" s="2"/>
      <c r="U197" s="1"/>
      <c r="V197" s="1"/>
      <c r="W197" s="1"/>
      <c r="X197" s="1"/>
      <c r="Y197" s="1"/>
      <c r="Z197" s="1"/>
    </row>
    <row r="198" spans="5:26" ht="15.75" customHeight="1" x14ac:dyDescent="0.4">
      <c r="L198" s="1"/>
      <c r="M198" s="1"/>
      <c r="N198" s="1"/>
      <c r="O198" s="1"/>
      <c r="P198" s="1"/>
      <c r="Q198" s="1"/>
      <c r="R198" s="34"/>
      <c r="S198" s="2"/>
      <c r="T198" s="2"/>
      <c r="U198" s="1"/>
      <c r="V198" s="1"/>
      <c r="W198" s="1"/>
      <c r="X198" s="1"/>
      <c r="Y198" s="1"/>
      <c r="Z198" s="1"/>
    </row>
    <row r="199" spans="5:26" ht="15.75" customHeight="1" x14ac:dyDescent="0.4">
      <c r="L199" s="1"/>
      <c r="M199" s="1"/>
      <c r="N199" s="1"/>
      <c r="O199" s="1"/>
      <c r="P199" s="1"/>
      <c r="Q199" s="1"/>
      <c r="R199" s="34"/>
      <c r="S199" s="2"/>
      <c r="T199" s="2"/>
      <c r="U199" s="1"/>
      <c r="V199" s="1"/>
      <c r="W199" s="1"/>
      <c r="X199" s="1"/>
      <c r="Y199" s="1"/>
      <c r="Z199" s="1"/>
    </row>
    <row r="200" spans="5:26" ht="15.75" customHeight="1" x14ac:dyDescent="0.4">
      <c r="L200" s="1"/>
      <c r="M200" s="1"/>
      <c r="N200" s="1"/>
      <c r="O200" s="1"/>
      <c r="P200" s="1"/>
      <c r="Q200" s="1"/>
      <c r="R200" s="34"/>
      <c r="S200" s="2"/>
      <c r="T200" s="2"/>
      <c r="U200" s="1"/>
      <c r="V200" s="1"/>
      <c r="W200" s="1"/>
      <c r="X200" s="1"/>
      <c r="Y200" s="1"/>
      <c r="Z200" s="1"/>
    </row>
    <row r="201" spans="5:26" ht="15.75" customHeight="1" x14ac:dyDescent="0.4">
      <c r="E201" s="32"/>
      <c r="L201" s="1"/>
      <c r="M201" s="1"/>
      <c r="N201" s="1"/>
      <c r="O201" s="1"/>
      <c r="P201" s="1"/>
      <c r="Q201" s="1"/>
      <c r="R201" s="34"/>
      <c r="S201" s="2"/>
      <c r="T201" s="2"/>
      <c r="U201" s="1"/>
      <c r="V201" s="1"/>
      <c r="W201" s="1"/>
      <c r="X201" s="1"/>
      <c r="Y201" s="1"/>
      <c r="Z201" s="1"/>
    </row>
    <row r="202" spans="5:26" ht="15.75" customHeight="1" x14ac:dyDescent="0.4">
      <c r="E202" s="32"/>
      <c r="L202" s="1"/>
      <c r="M202" s="1"/>
      <c r="N202" s="1"/>
      <c r="O202" s="1"/>
      <c r="P202" s="1"/>
      <c r="Q202" s="1"/>
      <c r="R202" s="34"/>
      <c r="S202" s="2"/>
      <c r="T202" s="2"/>
      <c r="U202" s="1"/>
      <c r="V202" s="1"/>
      <c r="W202" s="1"/>
      <c r="X202" s="1"/>
      <c r="Y202" s="1"/>
      <c r="Z202" s="1"/>
    </row>
    <row r="203" spans="5:26" ht="15.75" customHeight="1" x14ac:dyDescent="0.4">
      <c r="E203" s="32"/>
      <c r="L203" s="1"/>
      <c r="M203" s="1"/>
      <c r="N203" s="1"/>
      <c r="O203" s="1"/>
      <c r="P203" s="1"/>
      <c r="Q203" s="1"/>
      <c r="R203" s="34"/>
      <c r="S203" s="2"/>
      <c r="T203" s="2"/>
      <c r="U203" s="1"/>
      <c r="V203" s="1"/>
      <c r="W203" s="1"/>
      <c r="X203" s="1"/>
      <c r="Y203" s="1"/>
      <c r="Z203" s="1"/>
    </row>
    <row r="204" spans="5:26" ht="15.75" customHeight="1" x14ac:dyDescent="0.4">
      <c r="E204" s="32"/>
      <c r="L204" s="1"/>
      <c r="M204" s="1"/>
      <c r="N204" s="1"/>
      <c r="O204" s="1"/>
      <c r="P204" s="1"/>
      <c r="Q204" s="1"/>
      <c r="R204" s="34"/>
      <c r="S204" s="2"/>
      <c r="T204" s="2"/>
      <c r="U204" s="1"/>
      <c r="V204" s="1"/>
      <c r="W204" s="1"/>
      <c r="X204" s="1"/>
      <c r="Y204" s="1"/>
      <c r="Z204" s="1"/>
    </row>
    <row r="205" spans="5:26" ht="15.75" customHeight="1" x14ac:dyDescent="0.4">
      <c r="E205" s="32"/>
      <c r="L205" s="1"/>
      <c r="M205" s="1"/>
      <c r="N205" s="1"/>
      <c r="O205" s="1"/>
      <c r="P205" s="1"/>
      <c r="Q205" s="1"/>
      <c r="R205" s="34"/>
      <c r="S205" s="2"/>
      <c r="T205" s="2"/>
      <c r="U205" s="1"/>
      <c r="V205" s="1"/>
      <c r="W205" s="1"/>
      <c r="X205" s="1"/>
      <c r="Y205" s="1"/>
      <c r="Z205" s="1"/>
    </row>
    <row r="206" spans="5:26" ht="15.75" customHeight="1" x14ac:dyDescent="0.4">
      <c r="E206" s="32"/>
      <c r="L206" s="1"/>
      <c r="M206" s="1"/>
      <c r="N206" s="1"/>
      <c r="O206" s="1"/>
      <c r="P206" s="1"/>
      <c r="Q206" s="1"/>
      <c r="R206" s="34"/>
      <c r="S206" s="2"/>
      <c r="T206" s="2"/>
      <c r="U206" s="1"/>
      <c r="V206" s="1"/>
      <c r="W206" s="1"/>
      <c r="X206" s="1"/>
      <c r="Y206" s="1"/>
      <c r="Z206" s="1"/>
    </row>
    <row r="207" spans="5:26" ht="15.75" customHeight="1" x14ac:dyDescent="0.4">
      <c r="E207" s="32"/>
      <c r="L207" s="1"/>
      <c r="M207" s="1"/>
      <c r="N207" s="1"/>
      <c r="O207" s="1"/>
      <c r="P207" s="1"/>
      <c r="Q207" s="1"/>
      <c r="R207" s="34"/>
      <c r="S207" s="2"/>
      <c r="T207" s="2"/>
      <c r="U207" s="1"/>
      <c r="V207" s="1"/>
      <c r="W207" s="1"/>
      <c r="X207" s="1"/>
      <c r="Y207" s="1"/>
      <c r="Z207" s="1"/>
    </row>
    <row r="208" spans="5:26" ht="15.75" customHeight="1" x14ac:dyDescent="0.4">
      <c r="E208" s="32"/>
      <c r="L208" s="1"/>
      <c r="M208" s="1"/>
      <c r="N208" s="1"/>
      <c r="O208" s="1"/>
      <c r="P208" s="1"/>
      <c r="Q208" s="1"/>
      <c r="R208" s="34"/>
      <c r="S208" s="2"/>
      <c r="T208" s="2"/>
      <c r="U208" s="1"/>
      <c r="V208" s="1"/>
      <c r="W208" s="1"/>
      <c r="X208" s="1"/>
      <c r="Y208" s="1"/>
      <c r="Z208" s="1"/>
    </row>
    <row r="209" spans="5:26" ht="15.75" customHeight="1" x14ac:dyDescent="0.4">
      <c r="E209" s="32"/>
      <c r="L209" s="1"/>
      <c r="M209" s="1"/>
      <c r="N209" s="1"/>
      <c r="O209" s="1"/>
      <c r="P209" s="1"/>
      <c r="Q209" s="1"/>
      <c r="R209" s="34"/>
      <c r="S209" s="2"/>
      <c r="T209" s="2"/>
      <c r="U209" s="1"/>
      <c r="V209" s="1"/>
      <c r="W209" s="1"/>
      <c r="X209" s="1"/>
      <c r="Y209" s="1"/>
      <c r="Z209" s="1"/>
    </row>
    <row r="210" spans="5:26" ht="15.75" customHeight="1" x14ac:dyDescent="0.4">
      <c r="E210" s="32"/>
      <c r="L210" s="1"/>
      <c r="M210" s="1"/>
      <c r="N210" s="1"/>
      <c r="O210" s="1"/>
      <c r="P210" s="1"/>
      <c r="Q210" s="1"/>
      <c r="R210" s="34"/>
      <c r="S210" s="2"/>
      <c r="T210" s="2"/>
      <c r="U210" s="1"/>
      <c r="V210" s="1"/>
      <c r="W210" s="1"/>
      <c r="X210" s="1"/>
      <c r="Y210" s="1"/>
      <c r="Z210" s="1"/>
    </row>
    <row r="211" spans="5:26" ht="15.75" customHeight="1" x14ac:dyDescent="0.4">
      <c r="E211" s="32"/>
      <c r="L211" s="1"/>
      <c r="M211" s="1"/>
      <c r="N211" s="1"/>
      <c r="O211" s="1"/>
      <c r="P211" s="1"/>
      <c r="Q211" s="1"/>
      <c r="R211" s="34"/>
      <c r="S211" s="2"/>
      <c r="T211" s="2"/>
      <c r="U211" s="1"/>
      <c r="V211" s="1"/>
      <c r="W211" s="1"/>
      <c r="X211" s="1"/>
      <c r="Y211" s="1"/>
      <c r="Z211" s="1"/>
    </row>
    <row r="212" spans="5:26" ht="15.75" customHeight="1" x14ac:dyDescent="0.4">
      <c r="E212" s="32"/>
      <c r="L212" s="1"/>
      <c r="M212" s="1"/>
      <c r="N212" s="1"/>
      <c r="O212" s="1"/>
      <c r="P212" s="1"/>
      <c r="Q212" s="1"/>
      <c r="R212" s="34"/>
      <c r="S212" s="2"/>
      <c r="T212" s="2"/>
      <c r="U212" s="1"/>
      <c r="V212" s="1"/>
      <c r="W212" s="1"/>
      <c r="X212" s="1"/>
      <c r="Y212" s="1"/>
      <c r="Z212" s="1"/>
    </row>
    <row r="213" spans="5:26" ht="15.75" customHeight="1" x14ac:dyDescent="0.4">
      <c r="E213" s="32"/>
      <c r="L213" s="1"/>
      <c r="M213" s="1"/>
      <c r="N213" s="1"/>
      <c r="O213" s="1"/>
      <c r="P213" s="1"/>
      <c r="Q213" s="1"/>
      <c r="R213" s="34"/>
      <c r="S213" s="2"/>
      <c r="T213" s="2"/>
      <c r="U213" s="1"/>
      <c r="V213" s="1"/>
      <c r="W213" s="1"/>
      <c r="X213" s="1"/>
      <c r="Y213" s="1"/>
      <c r="Z213" s="1"/>
    </row>
    <row r="214" spans="5:26" ht="15.75" customHeight="1" x14ac:dyDescent="0.4">
      <c r="E214" s="32"/>
      <c r="L214" s="1"/>
      <c r="M214" s="1"/>
      <c r="N214" s="1"/>
      <c r="O214" s="1"/>
      <c r="P214" s="1"/>
      <c r="Q214" s="1"/>
      <c r="R214" s="34"/>
      <c r="S214" s="2"/>
      <c r="T214" s="2"/>
      <c r="U214" s="1"/>
      <c r="V214" s="1"/>
      <c r="W214" s="1"/>
      <c r="X214" s="1"/>
      <c r="Y214" s="1"/>
      <c r="Z214" s="1"/>
    </row>
    <row r="215" spans="5:26" ht="15.75" customHeight="1" x14ac:dyDescent="0.4">
      <c r="E215" s="32"/>
      <c r="L215" s="1"/>
      <c r="M215" s="1"/>
      <c r="N215" s="1"/>
      <c r="O215" s="1"/>
      <c r="P215" s="1"/>
      <c r="Q215" s="1"/>
      <c r="R215" s="34"/>
      <c r="S215" s="2"/>
      <c r="T215" s="2"/>
      <c r="U215" s="1"/>
      <c r="V215" s="1"/>
      <c r="W215" s="1"/>
      <c r="X215" s="1"/>
      <c r="Y215" s="1"/>
      <c r="Z215" s="1"/>
    </row>
    <row r="216" spans="5:26" ht="15.75" customHeight="1" x14ac:dyDescent="0.4">
      <c r="E216" s="32"/>
      <c r="L216" s="1"/>
      <c r="M216" s="1"/>
      <c r="N216" s="1"/>
      <c r="O216" s="1"/>
      <c r="P216" s="1"/>
      <c r="Q216" s="1"/>
      <c r="R216" s="34"/>
      <c r="S216" s="2"/>
      <c r="T216" s="2"/>
      <c r="U216" s="1"/>
      <c r="V216" s="1"/>
      <c r="W216" s="1"/>
      <c r="X216" s="1"/>
      <c r="Y216" s="1"/>
      <c r="Z216" s="1"/>
    </row>
    <row r="217" spans="5:26" ht="15.75" customHeight="1" x14ac:dyDescent="0.4">
      <c r="E217" s="32"/>
      <c r="L217" s="1"/>
      <c r="M217" s="1"/>
      <c r="N217" s="1"/>
      <c r="O217" s="1"/>
      <c r="P217" s="1"/>
      <c r="Q217" s="1"/>
      <c r="R217" s="34"/>
      <c r="S217" s="2"/>
      <c r="T217" s="2"/>
      <c r="U217" s="1"/>
      <c r="V217" s="1"/>
      <c r="W217" s="1"/>
      <c r="X217" s="1"/>
      <c r="Y217" s="1"/>
      <c r="Z217" s="1"/>
    </row>
    <row r="218" spans="5:26" ht="15.75" customHeight="1" x14ac:dyDescent="0.4">
      <c r="E218" s="32"/>
      <c r="L218" s="1"/>
      <c r="M218" s="1"/>
      <c r="N218" s="1"/>
      <c r="O218" s="1"/>
      <c r="P218" s="1"/>
      <c r="Q218" s="1"/>
      <c r="R218" s="34"/>
      <c r="S218" s="2"/>
      <c r="T218" s="2"/>
      <c r="U218" s="1"/>
      <c r="V218" s="1"/>
      <c r="W218" s="1"/>
      <c r="X218" s="1"/>
      <c r="Y218" s="1"/>
      <c r="Z218" s="1"/>
    </row>
    <row r="219" spans="5:26" ht="15.75" customHeight="1" x14ac:dyDescent="0.4">
      <c r="E219" s="32"/>
      <c r="L219" s="1"/>
      <c r="M219" s="1"/>
      <c r="N219" s="1"/>
      <c r="O219" s="1"/>
      <c r="P219" s="1"/>
      <c r="Q219" s="1"/>
      <c r="R219" s="34"/>
      <c r="S219" s="2"/>
      <c r="T219" s="2"/>
      <c r="U219" s="1"/>
      <c r="V219" s="1"/>
      <c r="W219" s="1"/>
      <c r="X219" s="1"/>
      <c r="Y219" s="1"/>
      <c r="Z219" s="1"/>
    </row>
    <row r="220" spans="5:26" ht="15.75" customHeight="1" x14ac:dyDescent="0.4">
      <c r="E220" s="32"/>
      <c r="L220" s="1"/>
      <c r="M220" s="1"/>
      <c r="N220" s="1"/>
      <c r="O220" s="1"/>
      <c r="P220" s="1"/>
      <c r="Q220" s="1"/>
      <c r="R220" s="34"/>
      <c r="S220" s="2"/>
      <c r="T220" s="2"/>
      <c r="U220" s="1"/>
      <c r="V220" s="1"/>
      <c r="W220" s="1"/>
      <c r="X220" s="1"/>
      <c r="Y220" s="1"/>
      <c r="Z220" s="1"/>
    </row>
    <row r="221" spans="5:26" ht="15.75" customHeight="1" x14ac:dyDescent="0.4">
      <c r="E221" s="32"/>
      <c r="L221" s="1"/>
      <c r="M221" s="1"/>
      <c r="N221" s="1"/>
      <c r="O221" s="1"/>
      <c r="P221" s="1"/>
      <c r="Q221" s="1"/>
      <c r="R221" s="34"/>
      <c r="S221" s="2"/>
      <c r="T221" s="2"/>
      <c r="U221" s="1"/>
      <c r="V221" s="1"/>
      <c r="W221" s="1"/>
      <c r="X221" s="1"/>
      <c r="Y221" s="1"/>
      <c r="Z221" s="1"/>
    </row>
    <row r="222" spans="5:26" ht="15.75" customHeight="1" x14ac:dyDescent="0.4">
      <c r="E222" s="32"/>
      <c r="L222" s="1"/>
      <c r="M222" s="1"/>
      <c r="N222" s="1"/>
      <c r="O222" s="1"/>
      <c r="P222" s="1"/>
      <c r="Q222" s="1"/>
      <c r="R222" s="34"/>
      <c r="S222" s="2"/>
      <c r="T222" s="2"/>
      <c r="U222" s="1"/>
      <c r="V222" s="1"/>
      <c r="W222" s="1"/>
      <c r="X222" s="1"/>
      <c r="Y222" s="1"/>
      <c r="Z222" s="1"/>
    </row>
    <row r="223" spans="5:26" ht="15.75" customHeight="1" x14ac:dyDescent="0.4">
      <c r="E223" s="32"/>
      <c r="L223" s="1"/>
      <c r="M223" s="1"/>
      <c r="N223" s="1"/>
      <c r="O223" s="1"/>
      <c r="P223" s="1"/>
      <c r="Q223" s="1"/>
      <c r="R223" s="34"/>
      <c r="S223" s="2"/>
      <c r="T223" s="2"/>
      <c r="U223" s="1"/>
      <c r="V223" s="1"/>
      <c r="W223" s="1"/>
      <c r="X223" s="1"/>
      <c r="Y223" s="1"/>
      <c r="Z223" s="1"/>
    </row>
    <row r="224" spans="5:26" ht="15.75" customHeight="1" x14ac:dyDescent="0.4">
      <c r="E224" s="32"/>
      <c r="L224" s="1"/>
      <c r="M224" s="1"/>
      <c r="N224" s="1"/>
      <c r="O224" s="1"/>
      <c r="P224" s="1"/>
      <c r="Q224" s="1"/>
      <c r="R224" s="34"/>
      <c r="S224" s="2"/>
      <c r="T224" s="2"/>
      <c r="U224" s="1"/>
      <c r="V224" s="1"/>
      <c r="W224" s="1"/>
      <c r="X224" s="1"/>
      <c r="Y224" s="1"/>
      <c r="Z224" s="1"/>
    </row>
    <row r="225" spans="1:26" ht="15.75" customHeight="1" x14ac:dyDescent="0.4">
      <c r="E225" s="32"/>
      <c r="L225" s="1"/>
      <c r="M225" s="1"/>
      <c r="N225" s="1"/>
      <c r="O225" s="1"/>
      <c r="P225" s="1"/>
      <c r="Q225" s="1"/>
      <c r="R225" s="34"/>
      <c r="S225" s="2"/>
      <c r="T225" s="2"/>
      <c r="U225" s="1"/>
      <c r="V225" s="1"/>
      <c r="W225" s="1"/>
      <c r="X225" s="1"/>
      <c r="Y225" s="1"/>
      <c r="Z225" s="1"/>
    </row>
    <row r="226" spans="1:26" ht="15.75" customHeight="1" x14ac:dyDescent="0.4">
      <c r="E226" s="32"/>
      <c r="L226" s="1"/>
      <c r="M226" s="1"/>
      <c r="N226" s="1"/>
      <c r="O226" s="1"/>
      <c r="P226" s="1"/>
      <c r="Q226" s="1"/>
      <c r="R226" s="34"/>
      <c r="S226" s="2"/>
      <c r="T226" s="2"/>
      <c r="U226" s="1"/>
      <c r="V226" s="1"/>
      <c r="W226" s="1"/>
      <c r="X226" s="1"/>
      <c r="Y226" s="1"/>
      <c r="Z226" s="1"/>
    </row>
    <row r="227" spans="1:26" ht="15.75" customHeight="1" x14ac:dyDescent="0.4">
      <c r="E227" s="32"/>
      <c r="L227" s="1"/>
      <c r="M227" s="1"/>
      <c r="N227" s="1"/>
      <c r="O227" s="1"/>
      <c r="P227" s="1"/>
      <c r="Q227" s="1"/>
      <c r="R227" s="34"/>
      <c r="S227" s="2"/>
      <c r="T227" s="2"/>
      <c r="U227" s="1"/>
      <c r="V227" s="1"/>
      <c r="W227" s="1"/>
      <c r="X227" s="1"/>
      <c r="Y227" s="1"/>
      <c r="Z227" s="1"/>
    </row>
    <row r="228" spans="1:26" ht="15.75" customHeight="1" x14ac:dyDescent="0.4">
      <c r="E228" s="32"/>
      <c r="L228" s="1"/>
      <c r="M228" s="1"/>
      <c r="N228" s="1"/>
      <c r="O228" s="1"/>
      <c r="P228" s="1"/>
      <c r="Q228" s="1"/>
      <c r="R228" s="34"/>
      <c r="S228" s="2"/>
      <c r="T228" s="2"/>
      <c r="U228" s="1"/>
      <c r="V228" s="1"/>
      <c r="W228" s="1"/>
      <c r="X228" s="1"/>
      <c r="Y228" s="1"/>
      <c r="Z228" s="1"/>
    </row>
    <row r="229" spans="1:26" ht="15.75" customHeight="1" x14ac:dyDescent="0.4">
      <c r="E229" s="32"/>
      <c r="L229" s="1"/>
      <c r="M229" s="1"/>
      <c r="N229" s="1"/>
      <c r="O229" s="1"/>
      <c r="P229" s="1"/>
      <c r="Q229" s="1"/>
      <c r="R229" s="34"/>
      <c r="S229" s="2"/>
      <c r="T229" s="2"/>
      <c r="U229" s="1"/>
      <c r="V229" s="1"/>
      <c r="W229" s="1"/>
      <c r="X229" s="1"/>
      <c r="Y229" s="1"/>
      <c r="Z229" s="1"/>
    </row>
    <row r="230" spans="1:26" ht="15.75" customHeight="1" x14ac:dyDescent="0.4">
      <c r="E230" s="32"/>
      <c r="L230" s="1"/>
      <c r="M230" s="1"/>
      <c r="N230" s="1"/>
      <c r="O230" s="1"/>
      <c r="P230" s="1"/>
      <c r="Q230" s="1"/>
      <c r="R230" s="34"/>
      <c r="S230" s="2"/>
      <c r="T230" s="2"/>
      <c r="U230" s="1"/>
      <c r="V230" s="1"/>
      <c r="W230" s="1"/>
      <c r="X230" s="1"/>
      <c r="Y230" s="1"/>
      <c r="Z230" s="1"/>
    </row>
    <row r="231" spans="1:26" ht="15.75" customHeight="1" x14ac:dyDescent="0.4">
      <c r="E231" s="32"/>
      <c r="L231" s="1"/>
      <c r="M231" s="1"/>
      <c r="N231" s="1"/>
      <c r="O231" s="1"/>
      <c r="P231" s="1"/>
      <c r="Q231" s="1"/>
      <c r="R231" s="34"/>
      <c r="S231" s="2"/>
      <c r="T231" s="2"/>
      <c r="U231" s="1"/>
      <c r="V231" s="1"/>
      <c r="W231" s="1"/>
      <c r="X231" s="1"/>
      <c r="Y231" s="1"/>
      <c r="Z231" s="1"/>
    </row>
    <row r="232" spans="1:26" ht="15.75" customHeight="1" x14ac:dyDescent="0.4">
      <c r="E232" s="32"/>
      <c r="L232" s="1"/>
      <c r="M232" s="1"/>
      <c r="N232" s="1"/>
      <c r="O232" s="1"/>
      <c r="P232" s="1"/>
      <c r="Q232" s="1"/>
      <c r="R232" s="34"/>
      <c r="S232" s="2"/>
      <c r="T232" s="2"/>
      <c r="U232" s="1"/>
      <c r="V232" s="1"/>
      <c r="W232" s="1"/>
      <c r="X232" s="1"/>
      <c r="Y232" s="1"/>
      <c r="Z232" s="1"/>
    </row>
    <row r="233" spans="1:26" ht="15.75" customHeight="1" x14ac:dyDescent="0.4">
      <c r="E233" s="3"/>
      <c r="F233" s="1"/>
      <c r="G233" s="1"/>
      <c r="H233" s="1"/>
      <c r="I233" s="1"/>
      <c r="J233" s="1"/>
      <c r="L233" s="1"/>
      <c r="M233" s="1"/>
      <c r="N233" s="1"/>
      <c r="O233" s="1"/>
      <c r="P233" s="1"/>
      <c r="Q233" s="1"/>
      <c r="R233" s="34"/>
      <c r="S233" s="2"/>
      <c r="T233" s="2"/>
      <c r="U233" s="1"/>
      <c r="V233" s="1"/>
      <c r="W233" s="1"/>
      <c r="X233" s="1"/>
      <c r="Y233" s="1"/>
      <c r="Z233" s="1"/>
    </row>
    <row r="234" spans="1:26" ht="15.75" customHeight="1" x14ac:dyDescent="0.4">
      <c r="A234" s="1"/>
      <c r="B234" s="1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34"/>
      <c r="S234" s="2"/>
      <c r="T234" s="2"/>
      <c r="U234" s="1"/>
      <c r="V234" s="1"/>
      <c r="W234" s="1"/>
      <c r="X234" s="1"/>
      <c r="Y234" s="1"/>
      <c r="Z234" s="1"/>
    </row>
    <row r="235" spans="1:26" ht="15.75" customHeight="1" x14ac:dyDescent="0.4">
      <c r="A235" s="1"/>
      <c r="B235" s="1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34"/>
      <c r="S235" s="2"/>
      <c r="T235" s="2"/>
      <c r="U235" s="1"/>
      <c r="V235" s="1"/>
      <c r="W235" s="1"/>
      <c r="X235" s="1"/>
      <c r="Y235" s="1"/>
      <c r="Z235" s="1"/>
    </row>
    <row r="236" spans="1:26" ht="15.75" customHeight="1" x14ac:dyDescent="0.4">
      <c r="A236" s="1"/>
      <c r="B236" s="1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34"/>
      <c r="S236" s="2"/>
      <c r="T236" s="2"/>
      <c r="U236" s="1"/>
      <c r="V236" s="1"/>
      <c r="W236" s="1"/>
      <c r="X236" s="1"/>
      <c r="Y236" s="1"/>
      <c r="Z236" s="1"/>
    </row>
    <row r="237" spans="1:26" ht="15.75" customHeight="1" x14ac:dyDescent="0.4">
      <c r="A237" s="1"/>
      <c r="B237" s="1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34"/>
      <c r="S237" s="2"/>
      <c r="T237" s="2"/>
      <c r="U237" s="1"/>
      <c r="V237" s="1"/>
      <c r="W237" s="1"/>
      <c r="X237" s="1"/>
      <c r="Y237" s="1"/>
      <c r="Z237" s="1"/>
    </row>
    <row r="238" spans="1:26" ht="15.75" customHeight="1" x14ac:dyDescent="0.4">
      <c r="A238" s="1"/>
      <c r="B238" s="1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34"/>
      <c r="S238" s="2"/>
      <c r="T238" s="2"/>
      <c r="U238" s="1"/>
      <c r="V238" s="1"/>
      <c r="W238" s="1"/>
      <c r="X238" s="1"/>
      <c r="Y238" s="1"/>
      <c r="Z238" s="1"/>
    </row>
    <row r="239" spans="1:26" ht="15.75" customHeight="1" x14ac:dyDescent="0.4">
      <c r="A239" s="1"/>
      <c r="B239" s="1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4"/>
      <c r="S239" s="2"/>
      <c r="T239" s="2"/>
      <c r="U239" s="1"/>
      <c r="V239" s="1"/>
      <c r="W239" s="1"/>
      <c r="X239" s="1"/>
      <c r="Y239" s="1"/>
      <c r="Z239" s="1"/>
    </row>
    <row r="240" spans="1:26" ht="15.75" customHeight="1" x14ac:dyDescent="0.4">
      <c r="A240" s="1"/>
      <c r="B240" s="1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34"/>
      <c r="S240" s="2"/>
      <c r="T240" s="2"/>
      <c r="U240" s="1"/>
      <c r="V240" s="1"/>
      <c r="W240" s="1"/>
      <c r="X240" s="1"/>
      <c r="Y240" s="1"/>
      <c r="Z240" s="1"/>
    </row>
    <row r="241" spans="1:26" ht="15.75" customHeight="1" x14ac:dyDescent="0.4">
      <c r="A241" s="1"/>
      <c r="B241" s="1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34"/>
      <c r="S241" s="2"/>
      <c r="T241" s="2"/>
      <c r="U241" s="1"/>
      <c r="V241" s="1"/>
      <c r="W241" s="1"/>
      <c r="X241" s="1"/>
      <c r="Y241" s="1"/>
      <c r="Z241" s="1"/>
    </row>
    <row r="242" spans="1:26" ht="15.75" customHeight="1" x14ac:dyDescent="0.4">
      <c r="A242" s="1"/>
      <c r="B242" s="1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34"/>
      <c r="S242" s="2"/>
      <c r="T242" s="2"/>
      <c r="U242" s="1"/>
      <c r="V242" s="1"/>
      <c r="W242" s="1"/>
      <c r="X242" s="1"/>
      <c r="Y242" s="1"/>
      <c r="Z242" s="1"/>
    </row>
    <row r="243" spans="1:26" ht="15.75" customHeight="1" x14ac:dyDescent="0.4">
      <c r="A243" s="1"/>
      <c r="B243" s="1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34"/>
      <c r="S243" s="2"/>
      <c r="T243" s="2"/>
      <c r="U243" s="1"/>
      <c r="V243" s="1"/>
      <c r="W243" s="1"/>
      <c r="X243" s="1"/>
      <c r="Y243" s="1"/>
      <c r="Z243" s="1"/>
    </row>
    <row r="244" spans="1:26" ht="15.75" customHeight="1" x14ac:dyDescent="0.4">
      <c r="A244" s="1"/>
      <c r="B244" s="1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34"/>
      <c r="S244" s="2"/>
      <c r="T244" s="2"/>
      <c r="U244" s="1"/>
      <c r="V244" s="1"/>
      <c r="W244" s="1"/>
      <c r="X244" s="1"/>
      <c r="Y244" s="1"/>
      <c r="Z244" s="1"/>
    </row>
    <row r="245" spans="1:26" ht="15.75" customHeight="1" x14ac:dyDescent="0.4">
      <c r="A245" s="1"/>
      <c r="B245" s="1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34"/>
      <c r="S245" s="2"/>
      <c r="T245" s="2"/>
      <c r="U245" s="1"/>
      <c r="V245" s="1"/>
      <c r="W245" s="1"/>
      <c r="X245" s="1"/>
      <c r="Y245" s="1"/>
      <c r="Z245" s="1"/>
    </row>
    <row r="246" spans="1:26" ht="15.75" customHeight="1" x14ac:dyDescent="0.4">
      <c r="A246" s="1"/>
      <c r="B246" s="1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34"/>
      <c r="S246" s="2"/>
      <c r="T246" s="2"/>
      <c r="U246" s="1"/>
      <c r="V246" s="1"/>
      <c r="W246" s="1"/>
      <c r="X246" s="1"/>
      <c r="Y246" s="1"/>
      <c r="Z246" s="1"/>
    </row>
    <row r="247" spans="1:26" ht="15.75" customHeight="1" x14ac:dyDescent="0.4">
      <c r="A247" s="1"/>
      <c r="B247" s="1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34"/>
      <c r="S247" s="2"/>
      <c r="T247" s="2"/>
      <c r="U247" s="1"/>
      <c r="V247" s="1"/>
      <c r="W247" s="1"/>
      <c r="X247" s="1"/>
      <c r="Y247" s="1"/>
      <c r="Z247" s="1"/>
    </row>
    <row r="248" spans="1:26" ht="15.75" customHeight="1" x14ac:dyDescent="0.4">
      <c r="A248" s="1"/>
      <c r="B248" s="1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34"/>
      <c r="S248" s="2"/>
      <c r="T248" s="2"/>
      <c r="U248" s="1"/>
      <c r="V248" s="1"/>
      <c r="W248" s="1"/>
      <c r="X248" s="1"/>
      <c r="Y248" s="1"/>
      <c r="Z248" s="1"/>
    </row>
    <row r="249" spans="1:26" ht="15.75" customHeight="1" x14ac:dyDescent="0.4">
      <c r="A249" s="1"/>
      <c r="B249" s="1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34"/>
      <c r="S249" s="2"/>
      <c r="T249" s="2"/>
      <c r="U249" s="1"/>
      <c r="V249" s="1"/>
      <c r="W249" s="1"/>
      <c r="X249" s="1"/>
      <c r="Y249" s="1"/>
      <c r="Z249" s="1"/>
    </row>
    <row r="250" spans="1:26" ht="15.75" customHeight="1" x14ac:dyDescent="0.4">
      <c r="A250" s="1"/>
      <c r="B250" s="1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34"/>
      <c r="S250" s="2"/>
      <c r="T250" s="2"/>
      <c r="U250" s="1"/>
      <c r="V250" s="1"/>
      <c r="W250" s="1"/>
      <c r="X250" s="1"/>
      <c r="Y250" s="1"/>
      <c r="Z250" s="1"/>
    </row>
    <row r="251" spans="1:26" ht="15.75" customHeight="1" x14ac:dyDescent="0.4">
      <c r="A251" s="1"/>
      <c r="B251" s="1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34"/>
      <c r="S251" s="2"/>
      <c r="T251" s="2"/>
      <c r="U251" s="1"/>
      <c r="V251" s="1"/>
      <c r="W251" s="1"/>
      <c r="X251" s="1"/>
      <c r="Y251" s="1"/>
      <c r="Z251" s="1"/>
    </row>
    <row r="252" spans="1:26" ht="15.75" customHeight="1" x14ac:dyDescent="0.4">
      <c r="A252" s="1"/>
      <c r="B252" s="1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34"/>
      <c r="S252" s="2"/>
      <c r="T252" s="2"/>
      <c r="U252" s="1"/>
      <c r="V252" s="1"/>
      <c r="W252" s="1"/>
      <c r="X252" s="1"/>
      <c r="Y252" s="1"/>
      <c r="Z252" s="1"/>
    </row>
    <row r="253" spans="1:26" ht="15.75" customHeight="1" x14ac:dyDescent="0.4">
      <c r="A253" s="1"/>
      <c r="B253" s="1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34"/>
      <c r="S253" s="2"/>
      <c r="T253" s="2"/>
      <c r="U253" s="1"/>
      <c r="V253" s="1"/>
      <c r="W253" s="1"/>
      <c r="X253" s="1"/>
      <c r="Y253" s="1"/>
      <c r="Z253" s="1"/>
    </row>
    <row r="254" spans="1:26" ht="15.75" customHeight="1" x14ac:dyDescent="0.4">
      <c r="A254" s="1"/>
      <c r="B254" s="1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34"/>
      <c r="S254" s="2"/>
      <c r="T254" s="2"/>
      <c r="U254" s="1"/>
      <c r="V254" s="1"/>
      <c r="W254" s="1"/>
      <c r="X254" s="1"/>
      <c r="Y254" s="1"/>
      <c r="Z254" s="1"/>
    </row>
    <row r="255" spans="1:26" ht="15.75" customHeight="1" x14ac:dyDescent="0.4">
      <c r="A255" s="1"/>
      <c r="B255" s="1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34"/>
      <c r="S255" s="2"/>
      <c r="T255" s="2"/>
      <c r="U255" s="1"/>
      <c r="V255" s="1"/>
      <c r="W255" s="1"/>
      <c r="X255" s="1"/>
      <c r="Y255" s="1"/>
      <c r="Z255" s="1"/>
    </row>
    <row r="256" spans="1:26" ht="15.75" customHeight="1" x14ac:dyDescent="0.4">
      <c r="A256" s="1"/>
      <c r="B256" s="1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34"/>
      <c r="S256" s="2"/>
      <c r="T256" s="2"/>
      <c r="U256" s="1"/>
      <c r="V256" s="1"/>
      <c r="W256" s="1"/>
      <c r="X256" s="1"/>
      <c r="Y256" s="1"/>
      <c r="Z256" s="1"/>
    </row>
    <row r="257" spans="1:26" ht="15.75" customHeight="1" x14ac:dyDescent="0.4">
      <c r="A257" s="1"/>
      <c r="B257" s="1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34"/>
      <c r="S257" s="2"/>
      <c r="T257" s="2"/>
      <c r="U257" s="1"/>
      <c r="V257" s="1"/>
      <c r="W257" s="1"/>
      <c r="X257" s="1"/>
      <c r="Y257" s="1"/>
      <c r="Z257" s="1"/>
    </row>
    <row r="258" spans="1:26" ht="15.75" customHeight="1" x14ac:dyDescent="0.4">
      <c r="A258" s="1"/>
      <c r="B258" s="1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34"/>
      <c r="S258" s="2"/>
      <c r="T258" s="2"/>
      <c r="U258" s="1"/>
      <c r="V258" s="1"/>
      <c r="W258" s="1"/>
      <c r="X258" s="1"/>
      <c r="Y258" s="1"/>
      <c r="Z258" s="1"/>
    </row>
    <row r="259" spans="1:26" ht="15.75" customHeight="1" x14ac:dyDescent="0.4">
      <c r="A259" s="1"/>
      <c r="B259" s="1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34"/>
      <c r="S259" s="2"/>
      <c r="T259" s="2"/>
      <c r="U259" s="1"/>
      <c r="V259" s="1"/>
      <c r="W259" s="1"/>
      <c r="X259" s="1"/>
      <c r="Y259" s="1"/>
      <c r="Z259" s="1"/>
    </row>
    <row r="260" spans="1:26" ht="15.75" customHeight="1" x14ac:dyDescent="0.4">
      <c r="A260" s="1"/>
      <c r="B260" s="1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34"/>
      <c r="S260" s="2"/>
      <c r="T260" s="2"/>
      <c r="U260" s="1"/>
      <c r="V260" s="1"/>
      <c r="W260" s="1"/>
      <c r="X260" s="1"/>
      <c r="Y260" s="1"/>
      <c r="Z260" s="1"/>
    </row>
    <row r="261" spans="1:26" ht="15.75" customHeight="1" x14ac:dyDescent="0.4">
      <c r="A261" s="1"/>
      <c r="B261" s="1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4"/>
      <c r="S261" s="2"/>
      <c r="T261" s="2"/>
      <c r="U261" s="1"/>
      <c r="V261" s="1"/>
      <c r="W261" s="1"/>
      <c r="X261" s="1"/>
      <c r="Y261" s="1"/>
      <c r="Z261" s="1"/>
    </row>
    <row r="262" spans="1:26" ht="15.75" customHeight="1" x14ac:dyDescent="0.4">
      <c r="A262" s="1"/>
      <c r="B262" s="1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34"/>
      <c r="S262" s="2"/>
      <c r="T262" s="2"/>
      <c r="U262" s="1"/>
      <c r="V262" s="1"/>
      <c r="W262" s="1"/>
      <c r="X262" s="1"/>
      <c r="Y262" s="1"/>
      <c r="Z262" s="1"/>
    </row>
    <row r="263" spans="1:26" ht="15.75" customHeight="1" x14ac:dyDescent="0.4">
      <c r="A263" s="1"/>
      <c r="B263" s="1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34"/>
      <c r="S263" s="2"/>
      <c r="T263" s="2"/>
      <c r="U263" s="1"/>
      <c r="V263" s="1"/>
      <c r="W263" s="1"/>
      <c r="X263" s="1"/>
      <c r="Y263" s="1"/>
      <c r="Z263" s="1"/>
    </row>
    <row r="264" spans="1:26" ht="15.75" customHeight="1" x14ac:dyDescent="0.4">
      <c r="A264" s="1"/>
      <c r="B264" s="1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34"/>
      <c r="S264" s="2"/>
      <c r="T264" s="2"/>
      <c r="U264" s="1"/>
      <c r="V264" s="1"/>
      <c r="W264" s="1"/>
      <c r="X264" s="1"/>
      <c r="Y264" s="1"/>
      <c r="Z264" s="1"/>
    </row>
    <row r="265" spans="1:26" ht="15.75" customHeight="1" x14ac:dyDescent="0.4">
      <c r="A265" s="1"/>
      <c r="B265" s="1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34"/>
      <c r="S265" s="2"/>
      <c r="T265" s="2"/>
      <c r="U265" s="1"/>
      <c r="V265" s="1"/>
      <c r="W265" s="1"/>
      <c r="X265" s="1"/>
      <c r="Y265" s="1"/>
      <c r="Z265" s="1"/>
    </row>
    <row r="266" spans="1:26" ht="15.75" customHeight="1" x14ac:dyDescent="0.4">
      <c r="A266" s="1"/>
      <c r="B266" s="1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34"/>
      <c r="S266" s="2"/>
      <c r="T266" s="2"/>
      <c r="U266" s="1"/>
      <c r="V266" s="1"/>
      <c r="W266" s="1"/>
      <c r="X266" s="1"/>
      <c r="Y266" s="1"/>
      <c r="Z266" s="1"/>
    </row>
    <row r="267" spans="1:26" ht="15.75" customHeight="1" x14ac:dyDescent="0.4">
      <c r="A267" s="1"/>
      <c r="B267" s="1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34"/>
      <c r="S267" s="2"/>
      <c r="T267" s="2"/>
      <c r="U267" s="1"/>
      <c r="V267" s="1"/>
      <c r="W267" s="1"/>
      <c r="X267" s="1"/>
      <c r="Y267" s="1"/>
      <c r="Z267" s="1"/>
    </row>
    <row r="268" spans="1:26" ht="15.75" customHeight="1" x14ac:dyDescent="0.4">
      <c r="A268" s="1"/>
      <c r="B268" s="1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34"/>
      <c r="S268" s="2"/>
      <c r="T268" s="2"/>
      <c r="U268" s="1"/>
      <c r="V268" s="1"/>
      <c r="W268" s="1"/>
      <c r="X268" s="1"/>
      <c r="Y268" s="1"/>
      <c r="Z268" s="1"/>
    </row>
    <row r="269" spans="1:26" ht="15.75" customHeight="1" x14ac:dyDescent="0.4">
      <c r="A269" s="1"/>
      <c r="B269" s="1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34"/>
      <c r="S269" s="2"/>
      <c r="T269" s="2"/>
      <c r="U269" s="1"/>
      <c r="V269" s="1"/>
      <c r="W269" s="1"/>
      <c r="X269" s="1"/>
      <c r="Y269" s="1"/>
      <c r="Z269" s="1"/>
    </row>
    <row r="270" spans="1:26" ht="15.75" customHeight="1" x14ac:dyDescent="0.4">
      <c r="A270" s="1"/>
      <c r="B270" s="1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34"/>
      <c r="S270" s="2"/>
      <c r="T270" s="2"/>
      <c r="U270" s="1"/>
      <c r="V270" s="1"/>
      <c r="W270" s="1"/>
      <c r="X270" s="1"/>
      <c r="Y270" s="1"/>
      <c r="Z270" s="1"/>
    </row>
    <row r="271" spans="1:26" ht="15.75" customHeight="1" x14ac:dyDescent="0.4">
      <c r="A271" s="1"/>
      <c r="B271" s="1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34"/>
      <c r="S271" s="2"/>
      <c r="T271" s="2"/>
      <c r="U271" s="1"/>
      <c r="V271" s="1"/>
      <c r="W271" s="1"/>
      <c r="X271" s="1"/>
      <c r="Y271" s="1"/>
      <c r="Z271" s="1"/>
    </row>
    <row r="272" spans="1:26" ht="15.75" customHeight="1" x14ac:dyDescent="0.4">
      <c r="A272" s="1"/>
      <c r="B272" s="1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34"/>
      <c r="S272" s="2"/>
      <c r="T272" s="2"/>
      <c r="U272" s="1"/>
      <c r="V272" s="1"/>
      <c r="W272" s="1"/>
      <c r="X272" s="1"/>
      <c r="Y272" s="1"/>
      <c r="Z272" s="1"/>
    </row>
    <row r="273" spans="1:26" ht="15.75" customHeight="1" x14ac:dyDescent="0.4">
      <c r="A273" s="1"/>
      <c r="B273" s="1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34"/>
      <c r="S273" s="2"/>
      <c r="T273" s="2"/>
      <c r="U273" s="1"/>
      <c r="V273" s="1"/>
      <c r="W273" s="1"/>
      <c r="X273" s="1"/>
      <c r="Y273" s="1"/>
      <c r="Z273" s="1"/>
    </row>
    <row r="274" spans="1:26" ht="15.75" customHeight="1" x14ac:dyDescent="0.4">
      <c r="A274" s="1"/>
      <c r="B274" s="1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34"/>
      <c r="S274" s="2"/>
      <c r="T274" s="2"/>
      <c r="U274" s="1"/>
      <c r="V274" s="1"/>
      <c r="W274" s="1"/>
      <c r="X274" s="1"/>
      <c r="Y274" s="1"/>
      <c r="Z274" s="1"/>
    </row>
    <row r="275" spans="1:26" ht="15.75" customHeight="1" x14ac:dyDescent="0.4">
      <c r="A275" s="1"/>
      <c r="B275" s="1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34"/>
      <c r="S275" s="2"/>
      <c r="T275" s="2"/>
      <c r="U275" s="1"/>
      <c r="V275" s="1"/>
      <c r="W275" s="1"/>
      <c r="X275" s="1"/>
      <c r="Y275" s="1"/>
      <c r="Z275" s="1"/>
    </row>
    <row r="276" spans="1:26" ht="15.75" customHeight="1" x14ac:dyDescent="0.4">
      <c r="A276" s="1"/>
      <c r="B276" s="1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34"/>
      <c r="S276" s="2"/>
      <c r="T276" s="2"/>
      <c r="U276" s="1"/>
      <c r="V276" s="1"/>
      <c r="W276" s="1"/>
      <c r="X276" s="1"/>
      <c r="Y276" s="1"/>
      <c r="Z276" s="1"/>
    </row>
    <row r="277" spans="1:26" ht="15.75" customHeight="1" x14ac:dyDescent="0.4">
      <c r="A277" s="1"/>
      <c r="B277" s="1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34"/>
      <c r="S277" s="2"/>
      <c r="T277" s="2"/>
      <c r="U277" s="1"/>
      <c r="V277" s="1"/>
      <c r="W277" s="1"/>
      <c r="X277" s="1"/>
      <c r="Y277" s="1"/>
      <c r="Z277" s="1"/>
    </row>
    <row r="278" spans="1:26" ht="15.75" customHeight="1" x14ac:dyDescent="0.4">
      <c r="A278" s="1"/>
      <c r="B278" s="1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34"/>
      <c r="S278" s="2"/>
      <c r="T278" s="2"/>
      <c r="U278" s="1"/>
      <c r="V278" s="1"/>
      <c r="W278" s="1"/>
      <c r="X278" s="1"/>
      <c r="Y278" s="1"/>
      <c r="Z278" s="1"/>
    </row>
    <row r="279" spans="1:26" ht="15.75" customHeight="1" x14ac:dyDescent="0.4">
      <c r="A279" s="1"/>
      <c r="B279" s="1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34"/>
      <c r="S279" s="2"/>
      <c r="T279" s="2"/>
      <c r="U279" s="1"/>
      <c r="V279" s="1"/>
      <c r="W279" s="1"/>
      <c r="X279" s="1"/>
      <c r="Y279" s="1"/>
      <c r="Z279" s="1"/>
    </row>
    <row r="280" spans="1:26" ht="15.75" customHeight="1" x14ac:dyDescent="0.4">
      <c r="A280" s="1"/>
      <c r="B280" s="1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34"/>
      <c r="S280" s="2"/>
      <c r="T280" s="2"/>
      <c r="U280" s="1"/>
      <c r="V280" s="1"/>
      <c r="W280" s="1"/>
      <c r="X280" s="1"/>
      <c r="Y280" s="1"/>
      <c r="Z280" s="1"/>
    </row>
    <row r="281" spans="1:26" ht="15.75" customHeight="1" x14ac:dyDescent="0.4">
      <c r="A281" s="1"/>
      <c r="B281" s="1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34"/>
      <c r="S281" s="2"/>
      <c r="T281" s="2"/>
      <c r="U281" s="1"/>
      <c r="V281" s="1"/>
      <c r="W281" s="1"/>
      <c r="X281" s="1"/>
      <c r="Y281" s="1"/>
      <c r="Z281" s="1"/>
    </row>
    <row r="282" spans="1:26" ht="15.75" customHeight="1" x14ac:dyDescent="0.4">
      <c r="A282" s="1"/>
      <c r="B282" s="1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34"/>
      <c r="S282" s="2"/>
      <c r="T282" s="2"/>
      <c r="U282" s="1"/>
      <c r="V282" s="1"/>
      <c r="W282" s="1"/>
      <c r="X282" s="1"/>
      <c r="Y282" s="1"/>
      <c r="Z282" s="1"/>
    </row>
    <row r="283" spans="1:26" ht="15.75" customHeight="1" x14ac:dyDescent="0.4">
      <c r="A283" s="1"/>
      <c r="B283" s="1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34"/>
      <c r="S283" s="2"/>
      <c r="T283" s="2"/>
      <c r="U283" s="1"/>
      <c r="V283" s="1"/>
      <c r="W283" s="1"/>
      <c r="X283" s="1"/>
      <c r="Y283" s="1"/>
      <c r="Z283" s="1"/>
    </row>
    <row r="284" spans="1:26" ht="15.75" customHeight="1" x14ac:dyDescent="0.4">
      <c r="A284" s="1"/>
      <c r="B284" s="1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34"/>
      <c r="S284" s="2"/>
      <c r="T284" s="2"/>
      <c r="U284" s="1"/>
      <c r="V284" s="1"/>
      <c r="W284" s="1"/>
      <c r="X284" s="1"/>
      <c r="Y284" s="1"/>
      <c r="Z284" s="1"/>
    </row>
    <row r="285" spans="1:26" ht="15.75" customHeight="1" x14ac:dyDescent="0.4">
      <c r="A285" s="1"/>
      <c r="B285" s="1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34"/>
      <c r="S285" s="2"/>
      <c r="T285" s="2"/>
      <c r="U285" s="1"/>
      <c r="V285" s="1"/>
      <c r="W285" s="1"/>
      <c r="X285" s="1"/>
      <c r="Y285" s="1"/>
      <c r="Z285" s="1"/>
    </row>
    <row r="286" spans="1:26" ht="15.75" customHeight="1" x14ac:dyDescent="0.4">
      <c r="A286" s="1"/>
      <c r="B286" s="1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34"/>
      <c r="S286" s="2"/>
      <c r="T286" s="2"/>
      <c r="U286" s="1"/>
      <c r="V286" s="1"/>
      <c r="W286" s="1"/>
      <c r="X286" s="1"/>
      <c r="Y286" s="1"/>
      <c r="Z286" s="1"/>
    </row>
    <row r="287" spans="1:26" ht="15.75" customHeight="1" x14ac:dyDescent="0.4">
      <c r="A287" s="1"/>
      <c r="B287" s="1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4"/>
      <c r="S287" s="2"/>
      <c r="T287" s="2"/>
      <c r="U287" s="1"/>
      <c r="V287" s="1"/>
      <c r="W287" s="1"/>
      <c r="X287" s="1"/>
      <c r="Y287" s="1"/>
      <c r="Z287" s="1"/>
    </row>
    <row r="288" spans="1:26" ht="15.75" customHeight="1" x14ac:dyDescent="0.4">
      <c r="A288" s="1"/>
      <c r="B288" s="1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4"/>
      <c r="S288" s="2"/>
      <c r="T288" s="2"/>
      <c r="U288" s="1"/>
      <c r="V288" s="1"/>
      <c r="W288" s="1"/>
      <c r="X288" s="1"/>
      <c r="Y288" s="1"/>
      <c r="Z288" s="1"/>
    </row>
    <row r="289" spans="1:26" ht="15.75" customHeight="1" x14ac:dyDescent="0.4">
      <c r="A289" s="1"/>
      <c r="B289" s="1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34"/>
      <c r="S289" s="2"/>
      <c r="T289" s="2"/>
      <c r="U289" s="1"/>
      <c r="V289" s="1"/>
      <c r="W289" s="1"/>
      <c r="X289" s="1"/>
      <c r="Y289" s="1"/>
      <c r="Z289" s="1"/>
    </row>
    <row r="290" spans="1:26" ht="15.75" customHeight="1" x14ac:dyDescent="0.4">
      <c r="A290" s="1"/>
      <c r="B290" s="1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34"/>
      <c r="S290" s="2"/>
      <c r="T290" s="2"/>
      <c r="U290" s="1"/>
      <c r="V290" s="1"/>
      <c r="W290" s="1"/>
      <c r="X290" s="1"/>
      <c r="Y290" s="1"/>
      <c r="Z290" s="1"/>
    </row>
    <row r="291" spans="1:26" ht="15.75" customHeight="1" x14ac:dyDescent="0.4">
      <c r="A291" s="1"/>
      <c r="B291" s="1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34"/>
      <c r="S291" s="2"/>
      <c r="T291" s="2"/>
      <c r="U291" s="1"/>
      <c r="V291" s="1"/>
      <c r="W291" s="1"/>
      <c r="X291" s="1"/>
      <c r="Y291" s="1"/>
      <c r="Z291" s="1"/>
    </row>
    <row r="292" spans="1:26" ht="15.75" customHeight="1" x14ac:dyDescent="0.4">
      <c r="A292" s="1"/>
      <c r="B292" s="1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34"/>
      <c r="S292" s="2"/>
      <c r="T292" s="2"/>
      <c r="U292" s="1"/>
      <c r="V292" s="1"/>
      <c r="W292" s="1"/>
      <c r="X292" s="1"/>
      <c r="Y292" s="1"/>
      <c r="Z292" s="1"/>
    </row>
    <row r="293" spans="1:26" ht="15.75" customHeight="1" x14ac:dyDescent="0.4">
      <c r="A293" s="1"/>
      <c r="B293" s="1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34"/>
      <c r="S293" s="2"/>
      <c r="T293" s="2"/>
      <c r="U293" s="1"/>
      <c r="V293" s="1"/>
      <c r="W293" s="1"/>
      <c r="X293" s="1"/>
      <c r="Y293" s="1"/>
      <c r="Z293" s="1"/>
    </row>
    <row r="294" spans="1:26" ht="15.75" customHeight="1" x14ac:dyDescent="0.4">
      <c r="A294" s="1"/>
      <c r="B294" s="1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34"/>
      <c r="S294" s="2"/>
      <c r="T294" s="2"/>
      <c r="U294" s="1"/>
      <c r="V294" s="1"/>
      <c r="W294" s="1"/>
      <c r="X294" s="1"/>
      <c r="Y294" s="1"/>
      <c r="Z294" s="1"/>
    </row>
    <row r="295" spans="1:26" ht="15.75" customHeight="1" x14ac:dyDescent="0.4">
      <c r="A295" s="1"/>
      <c r="B295" s="1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34"/>
      <c r="S295" s="2"/>
      <c r="T295" s="2"/>
      <c r="U295" s="1"/>
      <c r="V295" s="1"/>
      <c r="W295" s="1"/>
      <c r="X295" s="1"/>
      <c r="Y295" s="1"/>
      <c r="Z295" s="1"/>
    </row>
    <row r="296" spans="1:26" ht="15.75" customHeight="1" x14ac:dyDescent="0.4">
      <c r="A296" s="1"/>
      <c r="B296" s="1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34"/>
      <c r="S296" s="2"/>
      <c r="T296" s="2"/>
      <c r="U296" s="1"/>
      <c r="V296" s="1"/>
      <c r="W296" s="1"/>
      <c r="X296" s="1"/>
      <c r="Y296" s="1"/>
      <c r="Z296" s="1"/>
    </row>
    <row r="297" spans="1:26" ht="15.75" customHeight="1" x14ac:dyDescent="0.4">
      <c r="A297" s="1"/>
      <c r="B297" s="1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34"/>
      <c r="S297" s="2"/>
      <c r="T297" s="2"/>
      <c r="U297" s="1"/>
      <c r="V297" s="1"/>
      <c r="W297" s="1"/>
      <c r="X297" s="1"/>
      <c r="Y297" s="1"/>
      <c r="Z297" s="1"/>
    </row>
    <row r="298" spans="1:26" ht="15.75" customHeight="1" x14ac:dyDescent="0.4">
      <c r="A298" s="1"/>
      <c r="B298" s="1"/>
      <c r="C298" s="1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34"/>
      <c r="S298" s="2"/>
      <c r="T298" s="2"/>
      <c r="U298" s="1"/>
      <c r="V298" s="1"/>
      <c r="W298" s="1"/>
      <c r="X298" s="1"/>
      <c r="Y298" s="1"/>
      <c r="Z298" s="1"/>
    </row>
    <row r="299" spans="1:26" ht="15.75" customHeight="1" x14ac:dyDescent="0.4">
      <c r="A299" s="1"/>
      <c r="B299" s="1"/>
      <c r="C299" s="1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34"/>
      <c r="S299" s="2"/>
      <c r="T299" s="2"/>
      <c r="U299" s="1"/>
      <c r="V299" s="1"/>
      <c r="W299" s="1"/>
      <c r="X299" s="1"/>
      <c r="Y299" s="1"/>
      <c r="Z299" s="1"/>
    </row>
    <row r="300" spans="1:26" ht="15.75" customHeight="1" x14ac:dyDescent="0.4">
      <c r="A300" s="1"/>
      <c r="B300" s="1"/>
      <c r="C300" s="1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34"/>
      <c r="S300" s="2"/>
      <c r="T300" s="2"/>
      <c r="U300" s="1"/>
      <c r="V300" s="1"/>
      <c r="W300" s="1"/>
      <c r="X300" s="1"/>
      <c r="Y300" s="1"/>
      <c r="Z300" s="1"/>
    </row>
    <row r="301" spans="1:26" ht="15.75" customHeight="1" x14ac:dyDescent="0.4">
      <c r="A301" s="1"/>
      <c r="B301" s="1"/>
      <c r="C301" s="1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34"/>
      <c r="S301" s="2"/>
      <c r="T301" s="2"/>
      <c r="U301" s="1"/>
      <c r="V301" s="1"/>
      <c r="W301" s="1"/>
      <c r="X301" s="1"/>
      <c r="Y301" s="1"/>
      <c r="Z301" s="1"/>
    </row>
    <row r="302" spans="1:26" ht="15.75" customHeight="1" x14ac:dyDescent="0.4">
      <c r="A302" s="1"/>
      <c r="B302" s="1"/>
      <c r="C302" s="1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34"/>
      <c r="S302" s="2"/>
      <c r="T302" s="2"/>
      <c r="U302" s="1"/>
      <c r="V302" s="1"/>
      <c r="W302" s="1"/>
      <c r="X302" s="1"/>
      <c r="Y302" s="1"/>
      <c r="Z302" s="1"/>
    </row>
    <row r="303" spans="1:26" ht="15.75" customHeight="1" x14ac:dyDescent="0.4">
      <c r="A303" s="1"/>
      <c r="B303" s="1"/>
      <c r="C303" s="1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34"/>
      <c r="S303" s="2"/>
      <c r="T303" s="2"/>
      <c r="U303" s="1"/>
      <c r="V303" s="1"/>
      <c r="W303" s="1"/>
      <c r="X303" s="1"/>
      <c r="Y303" s="1"/>
      <c r="Z303" s="1"/>
    </row>
    <row r="304" spans="1:26" ht="15.75" customHeight="1" x14ac:dyDescent="0.4">
      <c r="A304" s="1"/>
      <c r="B304" s="1"/>
      <c r="C304" s="1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34"/>
      <c r="S304" s="2"/>
      <c r="T304" s="2"/>
      <c r="U304" s="1"/>
      <c r="V304" s="1"/>
      <c r="W304" s="1"/>
      <c r="X304" s="1"/>
      <c r="Y304" s="1"/>
      <c r="Z304" s="1"/>
    </row>
    <row r="305" spans="1:26" ht="15.75" customHeight="1" x14ac:dyDescent="0.4">
      <c r="A305" s="1"/>
      <c r="B305" s="1"/>
      <c r="C305" s="1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34"/>
      <c r="S305" s="2"/>
      <c r="T305" s="2"/>
      <c r="U305" s="1"/>
      <c r="V305" s="1"/>
      <c r="W305" s="1"/>
      <c r="X305" s="1"/>
      <c r="Y305" s="1"/>
      <c r="Z305" s="1"/>
    </row>
    <row r="306" spans="1:26" ht="15.75" customHeight="1" x14ac:dyDescent="0.4">
      <c r="A306" s="1"/>
      <c r="B306" s="1"/>
      <c r="C306" s="1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34"/>
      <c r="S306" s="2"/>
      <c r="T306" s="2"/>
      <c r="U306" s="1"/>
      <c r="V306" s="1"/>
      <c r="W306" s="1"/>
      <c r="X306" s="1"/>
      <c r="Y306" s="1"/>
      <c r="Z306" s="1"/>
    </row>
    <row r="307" spans="1:26" ht="15.75" customHeight="1" x14ac:dyDescent="0.4">
      <c r="A307" s="1"/>
      <c r="B307" s="1"/>
      <c r="C307" s="1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34"/>
      <c r="S307" s="2"/>
      <c r="T307" s="2"/>
      <c r="U307" s="1"/>
      <c r="V307" s="1"/>
      <c r="W307" s="1"/>
      <c r="X307" s="1"/>
      <c r="Y307" s="1"/>
      <c r="Z307" s="1"/>
    </row>
    <row r="308" spans="1:26" ht="15.75" customHeight="1" x14ac:dyDescent="0.4">
      <c r="A308" s="1"/>
      <c r="B308" s="1"/>
      <c r="C308" s="1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34"/>
      <c r="S308" s="2"/>
      <c r="T308" s="2"/>
      <c r="U308" s="1"/>
      <c r="V308" s="1"/>
      <c r="W308" s="1"/>
      <c r="X308" s="1"/>
      <c r="Y308" s="1"/>
      <c r="Z308" s="1"/>
    </row>
    <row r="309" spans="1:26" ht="15.75" customHeight="1" x14ac:dyDescent="0.4">
      <c r="A309" s="1"/>
      <c r="B309" s="1"/>
      <c r="C309" s="1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34"/>
      <c r="S309" s="2"/>
      <c r="T309" s="2"/>
      <c r="U309" s="1"/>
      <c r="V309" s="1"/>
      <c r="W309" s="1"/>
      <c r="X309" s="1"/>
      <c r="Y309" s="1"/>
      <c r="Z309" s="1"/>
    </row>
    <row r="310" spans="1:26" ht="15.75" customHeight="1" x14ac:dyDescent="0.4">
      <c r="A310" s="1"/>
      <c r="B310" s="1"/>
      <c r="C310" s="1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34"/>
      <c r="S310" s="2"/>
      <c r="T310" s="2"/>
      <c r="U310" s="1"/>
      <c r="V310" s="1"/>
      <c r="W310" s="1"/>
      <c r="X310" s="1"/>
      <c r="Y310" s="1"/>
      <c r="Z310" s="1"/>
    </row>
    <row r="311" spans="1:26" ht="15.75" customHeight="1" x14ac:dyDescent="0.4">
      <c r="A311" s="1"/>
      <c r="B311" s="1"/>
      <c r="C311" s="1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34"/>
      <c r="S311" s="2"/>
      <c r="T311" s="2"/>
      <c r="U311" s="1"/>
      <c r="V311" s="1"/>
      <c r="W311" s="1"/>
      <c r="X311" s="1"/>
      <c r="Y311" s="1"/>
      <c r="Z311" s="1"/>
    </row>
    <row r="312" spans="1:26" ht="15.75" customHeight="1" x14ac:dyDescent="0.4">
      <c r="A312" s="1"/>
      <c r="B312" s="1"/>
      <c r="C312" s="1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34"/>
      <c r="S312" s="2"/>
      <c r="T312" s="2"/>
      <c r="U312" s="1"/>
      <c r="V312" s="1"/>
      <c r="W312" s="1"/>
      <c r="X312" s="1"/>
      <c r="Y312" s="1"/>
      <c r="Z312" s="1"/>
    </row>
    <row r="313" spans="1:26" ht="15.75" customHeight="1" x14ac:dyDescent="0.4">
      <c r="A313" s="1"/>
      <c r="B313" s="1"/>
      <c r="C313" s="1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34"/>
      <c r="S313" s="2"/>
      <c r="T313" s="2"/>
      <c r="U313" s="1"/>
      <c r="V313" s="1"/>
      <c r="W313" s="1"/>
      <c r="X313" s="1"/>
      <c r="Y313" s="1"/>
      <c r="Z313" s="1"/>
    </row>
    <row r="314" spans="1:26" ht="15.75" customHeight="1" x14ac:dyDescent="0.4">
      <c r="A314" s="1"/>
      <c r="B314" s="1"/>
      <c r="C314" s="1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34"/>
      <c r="S314" s="2"/>
      <c r="T314" s="2"/>
      <c r="U314" s="1"/>
      <c r="V314" s="1"/>
      <c r="W314" s="1"/>
      <c r="X314" s="1"/>
      <c r="Y314" s="1"/>
      <c r="Z314" s="1"/>
    </row>
    <row r="315" spans="1:26" ht="15.75" customHeight="1" x14ac:dyDescent="0.4">
      <c r="A315" s="1"/>
      <c r="B315" s="1"/>
      <c r="C315" s="1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34"/>
      <c r="S315" s="2"/>
      <c r="T315" s="2"/>
      <c r="U315" s="1"/>
      <c r="V315" s="1"/>
      <c r="W315" s="1"/>
      <c r="X315" s="1"/>
      <c r="Y315" s="1"/>
      <c r="Z315" s="1"/>
    </row>
    <row r="316" spans="1:26" ht="15.75" customHeight="1" x14ac:dyDescent="0.4">
      <c r="A316" s="1"/>
      <c r="B316" s="1"/>
      <c r="C316" s="1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34"/>
      <c r="S316" s="2"/>
      <c r="T316" s="2"/>
      <c r="U316" s="1"/>
      <c r="V316" s="1"/>
      <c r="W316" s="1"/>
      <c r="X316" s="1"/>
      <c r="Y316" s="1"/>
      <c r="Z316" s="1"/>
    </row>
    <row r="317" spans="1:26" ht="15.75" customHeight="1" x14ac:dyDescent="0.4">
      <c r="A317" s="1"/>
      <c r="B317" s="1"/>
      <c r="C317" s="1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34"/>
      <c r="S317" s="2"/>
      <c r="T317" s="2"/>
      <c r="U317" s="1"/>
      <c r="V317" s="1"/>
      <c r="W317" s="1"/>
      <c r="X317" s="1"/>
      <c r="Y317" s="1"/>
      <c r="Z317" s="1"/>
    </row>
    <row r="318" spans="1:26" ht="15.75" customHeight="1" x14ac:dyDescent="0.4">
      <c r="A318" s="1"/>
      <c r="B318" s="1"/>
      <c r="C318" s="1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34"/>
      <c r="S318" s="2"/>
      <c r="T318" s="2"/>
      <c r="U318" s="1"/>
      <c r="V318" s="1"/>
      <c r="W318" s="1"/>
      <c r="X318" s="1"/>
      <c r="Y318" s="1"/>
      <c r="Z318" s="1"/>
    </row>
    <row r="319" spans="1:26" ht="15.75" customHeight="1" x14ac:dyDescent="0.4">
      <c r="A319" s="1"/>
      <c r="B319" s="1"/>
      <c r="C319" s="1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34"/>
      <c r="S319" s="2"/>
      <c r="T319" s="2"/>
      <c r="U319" s="1"/>
      <c r="V319" s="1"/>
      <c r="W319" s="1"/>
      <c r="X319" s="1"/>
      <c r="Y319" s="1"/>
      <c r="Z319" s="1"/>
    </row>
    <row r="320" spans="1:26" ht="15.75" customHeight="1" x14ac:dyDescent="0.4">
      <c r="A320" s="1"/>
      <c r="B320" s="1"/>
      <c r="C320" s="1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34"/>
      <c r="S320" s="2"/>
      <c r="T320" s="2"/>
      <c r="U320" s="1"/>
      <c r="V320" s="1"/>
      <c r="W320" s="1"/>
      <c r="X320" s="1"/>
      <c r="Y320" s="1"/>
      <c r="Z320" s="1"/>
    </row>
    <row r="321" spans="1:26" ht="15.75" customHeight="1" x14ac:dyDescent="0.4">
      <c r="A321" s="1"/>
      <c r="B321" s="1"/>
      <c r="C321" s="1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34"/>
      <c r="S321" s="2"/>
      <c r="T321" s="2"/>
      <c r="U321" s="1"/>
      <c r="V321" s="1"/>
      <c r="W321" s="1"/>
      <c r="X321" s="1"/>
      <c r="Y321" s="1"/>
      <c r="Z321" s="1"/>
    </row>
    <row r="322" spans="1:26" ht="15.75" customHeight="1" x14ac:dyDescent="0.4">
      <c r="A322" s="1"/>
      <c r="B322" s="1"/>
      <c r="C322" s="1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34"/>
      <c r="S322" s="2"/>
      <c r="T322" s="2"/>
      <c r="U322" s="1"/>
      <c r="V322" s="1"/>
      <c r="W322" s="1"/>
      <c r="X322" s="1"/>
      <c r="Y322" s="1"/>
      <c r="Z322" s="1"/>
    </row>
    <row r="323" spans="1:26" ht="15.75" customHeight="1" x14ac:dyDescent="0.4">
      <c r="A323" s="1"/>
      <c r="B323" s="1"/>
      <c r="C323" s="1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34"/>
      <c r="S323" s="2"/>
      <c r="T323" s="2"/>
      <c r="U323" s="1"/>
      <c r="V323" s="1"/>
      <c r="W323" s="1"/>
      <c r="X323" s="1"/>
      <c r="Y323" s="1"/>
      <c r="Z323" s="1"/>
    </row>
    <row r="324" spans="1:26" ht="15.75" customHeight="1" x14ac:dyDescent="0.4">
      <c r="A324" s="1"/>
      <c r="B324" s="1"/>
      <c r="C324" s="1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34"/>
      <c r="S324" s="2"/>
      <c r="T324" s="2"/>
      <c r="U324" s="1"/>
      <c r="V324" s="1"/>
      <c r="W324" s="1"/>
      <c r="X324" s="1"/>
      <c r="Y324" s="1"/>
      <c r="Z324" s="1"/>
    </row>
    <row r="325" spans="1:26" ht="15.75" customHeight="1" x14ac:dyDescent="0.4">
      <c r="A325" s="1"/>
      <c r="B325" s="1"/>
      <c r="C325" s="1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34"/>
      <c r="S325" s="2"/>
      <c r="T325" s="2"/>
      <c r="U325" s="1"/>
      <c r="V325" s="1"/>
      <c r="W325" s="1"/>
      <c r="X325" s="1"/>
      <c r="Y325" s="1"/>
      <c r="Z325" s="1"/>
    </row>
    <row r="326" spans="1:26" ht="15.75" customHeight="1" x14ac:dyDescent="0.4">
      <c r="A326" s="1"/>
      <c r="B326" s="1"/>
      <c r="C326" s="1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34"/>
      <c r="S326" s="2"/>
      <c r="T326" s="2"/>
      <c r="U326" s="1"/>
      <c r="V326" s="1"/>
      <c r="W326" s="1"/>
      <c r="X326" s="1"/>
      <c r="Y326" s="1"/>
      <c r="Z326" s="1"/>
    </row>
    <row r="327" spans="1:26" ht="15.75" customHeight="1" x14ac:dyDescent="0.4">
      <c r="A327" s="1"/>
      <c r="B327" s="1"/>
      <c r="C327" s="1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34"/>
      <c r="S327" s="2"/>
      <c r="T327" s="2"/>
      <c r="U327" s="1"/>
      <c r="V327" s="1"/>
      <c r="W327" s="1"/>
      <c r="X327" s="1"/>
      <c r="Y327" s="1"/>
      <c r="Z327" s="1"/>
    </row>
    <row r="328" spans="1:26" ht="15.75" customHeight="1" x14ac:dyDescent="0.4">
      <c r="A328" s="1"/>
      <c r="B328" s="1"/>
      <c r="C328" s="1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34"/>
      <c r="S328" s="2"/>
      <c r="T328" s="2"/>
      <c r="U328" s="1"/>
      <c r="V328" s="1"/>
      <c r="W328" s="1"/>
      <c r="X328" s="1"/>
      <c r="Y328" s="1"/>
      <c r="Z328" s="1"/>
    </row>
    <row r="329" spans="1:26" ht="15.75" customHeight="1" x14ac:dyDescent="0.4">
      <c r="A329" s="1"/>
      <c r="B329" s="1"/>
      <c r="C329" s="1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34"/>
      <c r="S329" s="2"/>
      <c r="T329" s="2"/>
      <c r="U329" s="1"/>
      <c r="V329" s="1"/>
      <c r="W329" s="1"/>
      <c r="X329" s="1"/>
      <c r="Y329" s="1"/>
      <c r="Z329" s="1"/>
    </row>
    <row r="330" spans="1:26" ht="15.75" customHeight="1" x14ac:dyDescent="0.4">
      <c r="A330" s="1"/>
      <c r="B330" s="1"/>
      <c r="C330" s="1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34"/>
      <c r="S330" s="2"/>
      <c r="T330" s="2"/>
      <c r="U330" s="1"/>
      <c r="V330" s="1"/>
      <c r="W330" s="1"/>
      <c r="X330" s="1"/>
      <c r="Y330" s="1"/>
      <c r="Z330" s="1"/>
    </row>
    <row r="331" spans="1:26" ht="15.75" customHeight="1" x14ac:dyDescent="0.4">
      <c r="A331" s="1"/>
      <c r="B331" s="1"/>
      <c r="C331" s="1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34"/>
      <c r="S331" s="2"/>
      <c r="T331" s="2"/>
      <c r="U331" s="1"/>
      <c r="V331" s="1"/>
      <c r="W331" s="1"/>
      <c r="X331" s="1"/>
      <c r="Y331" s="1"/>
      <c r="Z331" s="1"/>
    </row>
    <row r="332" spans="1:26" ht="15.75" customHeight="1" x14ac:dyDescent="0.4">
      <c r="A332" s="1"/>
      <c r="B332" s="1"/>
      <c r="C332" s="1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34"/>
      <c r="S332" s="2"/>
      <c r="T332" s="2"/>
      <c r="U332" s="1"/>
      <c r="V332" s="1"/>
      <c r="W332" s="1"/>
      <c r="X332" s="1"/>
      <c r="Y332" s="1"/>
      <c r="Z332" s="1"/>
    </row>
    <row r="333" spans="1:26" ht="15.75" customHeight="1" x14ac:dyDescent="0.4">
      <c r="A333" s="1"/>
      <c r="B333" s="1"/>
      <c r="C333" s="1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34"/>
      <c r="S333" s="2"/>
      <c r="T333" s="2"/>
      <c r="U333" s="1"/>
      <c r="V333" s="1"/>
      <c r="W333" s="1"/>
      <c r="X333" s="1"/>
      <c r="Y333" s="1"/>
      <c r="Z333" s="1"/>
    </row>
    <row r="334" spans="1:26" ht="15.75" customHeight="1" x14ac:dyDescent="0.4">
      <c r="A334" s="1"/>
      <c r="B334" s="1"/>
      <c r="C334" s="1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4"/>
      <c r="S334" s="2"/>
      <c r="T334" s="2"/>
      <c r="U334" s="1"/>
      <c r="V334" s="1"/>
      <c r="W334" s="1"/>
      <c r="X334" s="1"/>
      <c r="Y334" s="1"/>
      <c r="Z334" s="1"/>
    </row>
    <row r="335" spans="1:26" ht="15.75" customHeight="1" x14ac:dyDescent="0.4">
      <c r="A335" s="1"/>
      <c r="B335" s="1"/>
      <c r="C335" s="1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4"/>
      <c r="S335" s="2"/>
      <c r="T335" s="2"/>
      <c r="U335" s="1"/>
      <c r="V335" s="1"/>
      <c r="W335" s="1"/>
      <c r="X335" s="1"/>
      <c r="Y335" s="1"/>
      <c r="Z335" s="1"/>
    </row>
    <row r="336" spans="1:26" ht="15.75" customHeight="1" x14ac:dyDescent="0.4">
      <c r="A336" s="1"/>
      <c r="B336" s="1"/>
      <c r="C336" s="1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34"/>
      <c r="S336" s="2"/>
      <c r="T336" s="2"/>
      <c r="U336" s="1"/>
      <c r="V336" s="1"/>
      <c r="W336" s="1"/>
      <c r="X336" s="1"/>
      <c r="Y336" s="1"/>
      <c r="Z336" s="1"/>
    </row>
    <row r="337" spans="1:26" ht="15.75" customHeight="1" x14ac:dyDescent="0.4">
      <c r="A337" s="1"/>
      <c r="B337" s="1"/>
      <c r="C337" s="1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34"/>
      <c r="S337" s="2"/>
      <c r="T337" s="2"/>
      <c r="U337" s="1"/>
      <c r="V337" s="1"/>
      <c r="W337" s="1"/>
      <c r="X337" s="1"/>
      <c r="Y337" s="1"/>
      <c r="Z337" s="1"/>
    </row>
    <row r="338" spans="1:26" ht="15.75" customHeight="1" x14ac:dyDescent="0.4">
      <c r="A338" s="1"/>
      <c r="B338" s="1"/>
      <c r="C338" s="1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34"/>
      <c r="S338" s="2"/>
      <c r="T338" s="2"/>
      <c r="U338" s="1"/>
      <c r="V338" s="1"/>
      <c r="W338" s="1"/>
      <c r="X338" s="1"/>
      <c r="Y338" s="1"/>
      <c r="Z338" s="1"/>
    </row>
    <row r="339" spans="1:26" ht="15.75" customHeight="1" x14ac:dyDescent="0.4">
      <c r="A339" s="1"/>
      <c r="B339" s="1"/>
      <c r="C339" s="1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34"/>
      <c r="S339" s="2"/>
      <c r="T339" s="2"/>
      <c r="U339" s="1"/>
      <c r="V339" s="1"/>
      <c r="W339" s="1"/>
      <c r="X339" s="1"/>
      <c r="Y339" s="1"/>
      <c r="Z339" s="1"/>
    </row>
    <row r="340" spans="1:26" ht="15.75" customHeight="1" x14ac:dyDescent="0.4">
      <c r="A340" s="1"/>
      <c r="B340" s="1"/>
      <c r="C340" s="1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34"/>
      <c r="S340" s="2"/>
      <c r="T340" s="2"/>
      <c r="U340" s="1"/>
      <c r="V340" s="1"/>
      <c r="W340" s="1"/>
      <c r="X340" s="1"/>
      <c r="Y340" s="1"/>
      <c r="Z340" s="1"/>
    </row>
    <row r="341" spans="1:26" ht="15.75" customHeight="1" x14ac:dyDescent="0.4">
      <c r="A341" s="1"/>
      <c r="B341" s="1"/>
      <c r="C341" s="1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34"/>
      <c r="S341" s="2"/>
      <c r="T341" s="2"/>
      <c r="U341" s="1"/>
      <c r="V341" s="1"/>
      <c r="W341" s="1"/>
      <c r="X341" s="1"/>
      <c r="Y341" s="1"/>
      <c r="Z341" s="1"/>
    </row>
    <row r="342" spans="1:26" ht="15.75" customHeight="1" x14ac:dyDescent="0.4">
      <c r="A342" s="1"/>
      <c r="B342" s="1"/>
      <c r="C342" s="1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34"/>
      <c r="S342" s="2"/>
      <c r="T342" s="2"/>
      <c r="U342" s="1"/>
      <c r="V342" s="1"/>
      <c r="W342" s="1"/>
      <c r="X342" s="1"/>
      <c r="Y342" s="1"/>
      <c r="Z342" s="1"/>
    </row>
    <row r="343" spans="1:26" ht="15.75" customHeight="1" x14ac:dyDescent="0.4">
      <c r="A343" s="1"/>
      <c r="B343" s="1"/>
      <c r="C343" s="1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34"/>
      <c r="S343" s="2"/>
      <c r="T343" s="2"/>
      <c r="U343" s="1"/>
      <c r="V343" s="1"/>
      <c r="W343" s="1"/>
      <c r="X343" s="1"/>
      <c r="Y343" s="1"/>
      <c r="Z343" s="1"/>
    </row>
    <row r="344" spans="1:26" ht="15.75" customHeight="1" x14ac:dyDescent="0.4">
      <c r="A344" s="1"/>
      <c r="B344" s="1"/>
      <c r="C344" s="1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34"/>
      <c r="S344" s="2"/>
      <c r="T344" s="2"/>
      <c r="U344" s="1"/>
      <c r="V344" s="1"/>
      <c r="W344" s="1"/>
      <c r="X344" s="1"/>
      <c r="Y344" s="1"/>
      <c r="Z344" s="1"/>
    </row>
    <row r="345" spans="1:26" ht="15.75" customHeight="1" x14ac:dyDescent="0.4">
      <c r="A345" s="1"/>
      <c r="B345" s="1"/>
      <c r="C345" s="1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34"/>
      <c r="S345" s="2"/>
      <c r="T345" s="2"/>
      <c r="U345" s="1"/>
      <c r="V345" s="1"/>
      <c r="W345" s="1"/>
      <c r="X345" s="1"/>
      <c r="Y345" s="1"/>
      <c r="Z345" s="1"/>
    </row>
    <row r="346" spans="1:26" ht="15.75" customHeight="1" x14ac:dyDescent="0.4">
      <c r="A346" s="1"/>
      <c r="B346" s="1"/>
      <c r="C346" s="1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34"/>
      <c r="S346" s="2"/>
      <c r="T346" s="2"/>
      <c r="U346" s="1"/>
      <c r="V346" s="1"/>
      <c r="W346" s="1"/>
      <c r="X346" s="1"/>
      <c r="Y346" s="1"/>
      <c r="Z346" s="1"/>
    </row>
    <row r="347" spans="1:26" ht="15.75" customHeight="1" x14ac:dyDescent="0.4">
      <c r="A347" s="1"/>
      <c r="B347" s="1"/>
      <c r="C347" s="1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34"/>
      <c r="S347" s="2"/>
      <c r="T347" s="2"/>
      <c r="U347" s="1"/>
      <c r="V347" s="1"/>
      <c r="W347" s="1"/>
      <c r="X347" s="1"/>
      <c r="Y347" s="1"/>
      <c r="Z347" s="1"/>
    </row>
    <row r="348" spans="1:26" ht="15.75" customHeight="1" x14ac:dyDescent="0.4">
      <c r="A348" s="1"/>
      <c r="B348" s="1"/>
      <c r="C348" s="1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34"/>
      <c r="S348" s="2"/>
      <c r="T348" s="2"/>
      <c r="U348" s="1"/>
      <c r="V348" s="1"/>
      <c r="W348" s="1"/>
      <c r="X348" s="1"/>
      <c r="Y348" s="1"/>
      <c r="Z348" s="1"/>
    </row>
    <row r="349" spans="1:26" ht="15.75" customHeight="1" x14ac:dyDescent="0.4">
      <c r="A349" s="1"/>
      <c r="B349" s="1"/>
      <c r="C349" s="1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34"/>
      <c r="S349" s="2"/>
      <c r="T349" s="2"/>
      <c r="U349" s="1"/>
      <c r="V349" s="1"/>
      <c r="W349" s="1"/>
      <c r="X349" s="1"/>
      <c r="Y349" s="1"/>
      <c r="Z349" s="1"/>
    </row>
    <row r="350" spans="1:26" ht="15.75" customHeight="1" x14ac:dyDescent="0.4">
      <c r="A350" s="1"/>
      <c r="B350" s="1"/>
      <c r="C350" s="1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34"/>
      <c r="S350" s="2"/>
      <c r="T350" s="2"/>
      <c r="U350" s="1"/>
      <c r="V350" s="1"/>
      <c r="W350" s="1"/>
      <c r="X350" s="1"/>
      <c r="Y350" s="1"/>
      <c r="Z350" s="1"/>
    </row>
    <row r="351" spans="1:26" ht="15.75" customHeight="1" x14ac:dyDescent="0.4">
      <c r="A351" s="1"/>
      <c r="B351" s="1"/>
      <c r="C351" s="1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34"/>
      <c r="S351" s="2"/>
      <c r="T351" s="2"/>
      <c r="U351" s="1"/>
      <c r="V351" s="1"/>
      <c r="W351" s="1"/>
      <c r="X351" s="1"/>
      <c r="Y351" s="1"/>
      <c r="Z351" s="1"/>
    </row>
    <row r="352" spans="1:26" ht="15.75" customHeight="1" x14ac:dyDescent="0.4">
      <c r="A352" s="1"/>
      <c r="B352" s="1"/>
      <c r="C352" s="1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34"/>
      <c r="S352" s="2"/>
      <c r="T352" s="2"/>
      <c r="U352" s="1"/>
      <c r="V352" s="1"/>
      <c r="W352" s="1"/>
      <c r="X352" s="1"/>
      <c r="Y352" s="1"/>
      <c r="Z352" s="1"/>
    </row>
    <row r="353" spans="1:26" ht="15.75" customHeight="1" x14ac:dyDescent="0.4">
      <c r="A353" s="1"/>
      <c r="B353" s="1"/>
      <c r="C353" s="1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34"/>
      <c r="S353" s="2"/>
      <c r="T353" s="2"/>
      <c r="U353" s="1"/>
      <c r="V353" s="1"/>
      <c r="W353" s="1"/>
      <c r="X353" s="1"/>
      <c r="Y353" s="1"/>
      <c r="Z353" s="1"/>
    </row>
    <row r="354" spans="1:26" ht="15.75" customHeight="1" x14ac:dyDescent="0.4">
      <c r="A354" s="1"/>
      <c r="B354" s="1"/>
      <c r="C354" s="1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34"/>
      <c r="S354" s="2"/>
      <c r="T354" s="2"/>
      <c r="U354" s="1"/>
      <c r="V354" s="1"/>
      <c r="W354" s="1"/>
      <c r="X354" s="1"/>
      <c r="Y354" s="1"/>
      <c r="Z354" s="1"/>
    </row>
    <row r="355" spans="1:26" ht="15.75" customHeight="1" x14ac:dyDescent="0.4">
      <c r="A355" s="1"/>
      <c r="B355" s="1"/>
      <c r="C355" s="1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34"/>
      <c r="S355" s="2"/>
      <c r="T355" s="2"/>
      <c r="U355" s="1"/>
      <c r="V355" s="1"/>
      <c r="W355" s="1"/>
      <c r="X355" s="1"/>
      <c r="Y355" s="1"/>
      <c r="Z355" s="1"/>
    </row>
    <row r="356" spans="1:26" ht="15.75" customHeight="1" x14ac:dyDescent="0.4">
      <c r="A356" s="1"/>
      <c r="B356" s="1"/>
      <c r="C356" s="1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34"/>
      <c r="S356" s="2"/>
      <c r="T356" s="2"/>
      <c r="U356" s="1"/>
      <c r="V356" s="1"/>
      <c r="W356" s="1"/>
      <c r="X356" s="1"/>
      <c r="Y356" s="1"/>
      <c r="Z356" s="1"/>
    </row>
    <row r="357" spans="1:26" ht="15.75" customHeight="1" x14ac:dyDescent="0.4">
      <c r="A357" s="1"/>
      <c r="B357" s="1"/>
      <c r="C357" s="1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34"/>
      <c r="S357" s="2"/>
      <c r="T357" s="2"/>
      <c r="U357" s="1"/>
      <c r="V357" s="1"/>
      <c r="W357" s="1"/>
      <c r="X357" s="1"/>
      <c r="Y357" s="1"/>
      <c r="Z357" s="1"/>
    </row>
    <row r="358" spans="1:26" ht="15.75" customHeight="1" x14ac:dyDescent="0.4">
      <c r="A358" s="1"/>
      <c r="B358" s="1"/>
      <c r="C358" s="1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34"/>
      <c r="S358" s="2"/>
      <c r="T358" s="2"/>
      <c r="U358" s="1"/>
      <c r="V358" s="1"/>
      <c r="W358" s="1"/>
      <c r="X358" s="1"/>
      <c r="Y358" s="1"/>
      <c r="Z358" s="1"/>
    </row>
    <row r="359" spans="1:26" ht="15.75" customHeight="1" x14ac:dyDescent="0.4">
      <c r="A359" s="1"/>
      <c r="B359" s="1"/>
      <c r="C359" s="1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34"/>
      <c r="S359" s="2"/>
      <c r="T359" s="2"/>
      <c r="U359" s="1"/>
      <c r="V359" s="1"/>
      <c r="W359" s="1"/>
      <c r="X359" s="1"/>
      <c r="Y359" s="1"/>
      <c r="Z359" s="1"/>
    </row>
    <row r="360" spans="1:26" ht="15.75" customHeight="1" x14ac:dyDescent="0.4">
      <c r="A360" s="1"/>
      <c r="B360" s="1"/>
      <c r="C360" s="1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34"/>
      <c r="S360" s="2"/>
      <c r="T360" s="2"/>
      <c r="U360" s="1"/>
      <c r="V360" s="1"/>
      <c r="W360" s="1"/>
      <c r="X360" s="1"/>
      <c r="Y360" s="1"/>
      <c r="Z360" s="1"/>
    </row>
    <row r="361" spans="1:26" ht="15.75" customHeight="1" x14ac:dyDescent="0.4">
      <c r="A361" s="1"/>
      <c r="B361" s="1"/>
      <c r="C361" s="1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34"/>
      <c r="S361" s="2"/>
      <c r="T361" s="2"/>
      <c r="U361" s="1"/>
      <c r="V361" s="1"/>
      <c r="W361" s="1"/>
      <c r="X361" s="1"/>
      <c r="Y361" s="1"/>
      <c r="Z361" s="1"/>
    </row>
    <row r="362" spans="1:26" ht="15.75" customHeight="1" x14ac:dyDescent="0.4">
      <c r="A362" s="1"/>
      <c r="B362" s="1"/>
      <c r="C362" s="1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34"/>
      <c r="S362" s="2"/>
      <c r="T362" s="2"/>
      <c r="U362" s="1"/>
      <c r="V362" s="1"/>
      <c r="W362" s="1"/>
      <c r="X362" s="1"/>
      <c r="Y362" s="1"/>
      <c r="Z362" s="1"/>
    </row>
    <row r="363" spans="1:26" ht="15.75" customHeight="1" x14ac:dyDescent="0.4">
      <c r="A363" s="1"/>
      <c r="B363" s="1"/>
      <c r="C363" s="1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34"/>
      <c r="S363" s="2"/>
      <c r="T363" s="2"/>
      <c r="U363" s="1"/>
      <c r="V363" s="1"/>
      <c r="W363" s="1"/>
      <c r="X363" s="1"/>
      <c r="Y363" s="1"/>
      <c r="Z363" s="1"/>
    </row>
    <row r="364" spans="1:26" ht="15.75" customHeight="1" x14ac:dyDescent="0.4">
      <c r="A364" s="1"/>
      <c r="B364" s="1"/>
      <c r="C364" s="1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34"/>
      <c r="S364" s="2"/>
      <c r="T364" s="2"/>
      <c r="U364" s="1"/>
      <c r="V364" s="1"/>
      <c r="W364" s="1"/>
      <c r="X364" s="1"/>
      <c r="Y364" s="1"/>
      <c r="Z364" s="1"/>
    </row>
    <row r="365" spans="1:26" ht="15.75" customHeight="1" x14ac:dyDescent="0.4">
      <c r="A365" s="1"/>
      <c r="B365" s="1"/>
      <c r="C365" s="1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34"/>
      <c r="S365" s="2"/>
      <c r="T365" s="2"/>
      <c r="U365" s="1"/>
      <c r="V365" s="1"/>
      <c r="W365" s="1"/>
      <c r="X365" s="1"/>
      <c r="Y365" s="1"/>
      <c r="Z365" s="1"/>
    </row>
    <row r="366" spans="1:26" ht="15.75" customHeight="1" x14ac:dyDescent="0.4">
      <c r="A366" s="1"/>
      <c r="B366" s="1"/>
      <c r="C366" s="1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34"/>
      <c r="S366" s="2"/>
      <c r="T366" s="2"/>
      <c r="U366" s="1"/>
      <c r="V366" s="1"/>
      <c r="W366" s="1"/>
      <c r="X366" s="1"/>
      <c r="Y366" s="1"/>
      <c r="Z366" s="1"/>
    </row>
    <row r="367" spans="1:26" ht="15.75" customHeight="1" x14ac:dyDescent="0.4">
      <c r="A367" s="1"/>
      <c r="B367" s="1"/>
      <c r="C367" s="1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34"/>
      <c r="S367" s="2"/>
      <c r="T367" s="2"/>
      <c r="U367" s="1"/>
      <c r="V367" s="1"/>
      <c r="W367" s="1"/>
      <c r="X367" s="1"/>
      <c r="Y367" s="1"/>
      <c r="Z367" s="1"/>
    </row>
    <row r="368" spans="1:26" ht="15.75" customHeight="1" x14ac:dyDescent="0.4">
      <c r="A368" s="1"/>
      <c r="B368" s="1"/>
      <c r="C368" s="1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34"/>
      <c r="S368" s="2"/>
      <c r="T368" s="2"/>
      <c r="U368" s="1"/>
      <c r="V368" s="1"/>
      <c r="W368" s="1"/>
      <c r="X368" s="1"/>
      <c r="Y368" s="1"/>
      <c r="Z368" s="1"/>
    </row>
    <row r="369" spans="1:26" ht="15.75" customHeight="1" x14ac:dyDescent="0.4">
      <c r="A369" s="1"/>
      <c r="B369" s="1"/>
      <c r="C369" s="1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34"/>
      <c r="S369" s="2"/>
      <c r="T369" s="2"/>
      <c r="U369" s="1"/>
      <c r="V369" s="1"/>
      <c r="W369" s="1"/>
      <c r="X369" s="1"/>
      <c r="Y369" s="1"/>
      <c r="Z369" s="1"/>
    </row>
    <row r="370" spans="1:26" ht="15.75" customHeight="1" x14ac:dyDescent="0.4">
      <c r="A370" s="1"/>
      <c r="B370" s="1"/>
      <c r="C370" s="1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34"/>
      <c r="S370" s="2"/>
      <c r="T370" s="2"/>
      <c r="U370" s="1"/>
      <c r="V370" s="1"/>
      <c r="W370" s="1"/>
      <c r="X370" s="1"/>
      <c r="Y370" s="1"/>
      <c r="Z370" s="1"/>
    </row>
    <row r="371" spans="1:26" ht="15.75" customHeight="1" x14ac:dyDescent="0.4">
      <c r="A371" s="1"/>
      <c r="B371" s="1"/>
      <c r="C371" s="1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34"/>
      <c r="S371" s="2"/>
      <c r="T371" s="2"/>
      <c r="U371" s="1"/>
      <c r="V371" s="1"/>
      <c r="W371" s="1"/>
      <c r="X371" s="1"/>
      <c r="Y371" s="1"/>
      <c r="Z371" s="1"/>
    </row>
    <row r="372" spans="1:26" ht="15.75" customHeight="1" x14ac:dyDescent="0.4">
      <c r="A372" s="1"/>
      <c r="B372" s="1"/>
      <c r="C372" s="1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34"/>
      <c r="S372" s="2"/>
      <c r="T372" s="2"/>
      <c r="U372" s="1"/>
      <c r="V372" s="1"/>
      <c r="W372" s="1"/>
      <c r="X372" s="1"/>
      <c r="Y372" s="1"/>
      <c r="Z372" s="1"/>
    </row>
    <row r="373" spans="1:26" ht="15.75" customHeight="1" x14ac:dyDescent="0.4">
      <c r="A373" s="1"/>
      <c r="B373" s="1"/>
      <c r="C373" s="1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34"/>
      <c r="S373" s="2"/>
      <c r="T373" s="2"/>
      <c r="U373" s="1"/>
      <c r="V373" s="1"/>
      <c r="W373" s="1"/>
      <c r="X373" s="1"/>
      <c r="Y373" s="1"/>
      <c r="Z373" s="1"/>
    </row>
    <row r="374" spans="1:26" ht="15.75" customHeight="1" x14ac:dyDescent="0.4">
      <c r="A374" s="1"/>
      <c r="B374" s="1"/>
      <c r="C374" s="1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34"/>
      <c r="S374" s="2"/>
      <c r="T374" s="2"/>
      <c r="U374" s="1"/>
      <c r="V374" s="1"/>
      <c r="W374" s="1"/>
      <c r="X374" s="1"/>
      <c r="Y374" s="1"/>
      <c r="Z374" s="1"/>
    </row>
    <row r="375" spans="1:26" ht="15.75" customHeight="1" x14ac:dyDescent="0.4">
      <c r="A375" s="1"/>
      <c r="B375" s="1"/>
      <c r="C375" s="1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34"/>
      <c r="S375" s="2"/>
      <c r="T375" s="2"/>
      <c r="U375" s="1"/>
      <c r="V375" s="1"/>
      <c r="W375" s="1"/>
      <c r="X375" s="1"/>
      <c r="Y375" s="1"/>
      <c r="Z375" s="1"/>
    </row>
    <row r="376" spans="1:26" ht="15.75" customHeight="1" x14ac:dyDescent="0.4">
      <c r="A376" s="1"/>
      <c r="B376" s="1"/>
      <c r="C376" s="1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34"/>
      <c r="S376" s="2"/>
      <c r="T376" s="2"/>
      <c r="U376" s="1"/>
      <c r="V376" s="1"/>
      <c r="W376" s="1"/>
      <c r="X376" s="1"/>
      <c r="Y376" s="1"/>
      <c r="Z376" s="1"/>
    </row>
    <row r="377" spans="1:26" ht="15.75" customHeight="1" x14ac:dyDescent="0.4">
      <c r="A377" s="1"/>
      <c r="B377" s="1"/>
      <c r="C377" s="1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34"/>
      <c r="S377" s="2"/>
      <c r="T377" s="2"/>
      <c r="U377" s="1"/>
      <c r="V377" s="1"/>
      <c r="W377" s="1"/>
      <c r="X377" s="1"/>
      <c r="Y377" s="1"/>
      <c r="Z377" s="1"/>
    </row>
    <row r="378" spans="1:26" ht="15.75" customHeight="1" x14ac:dyDescent="0.4">
      <c r="A378" s="1"/>
      <c r="B378" s="1"/>
      <c r="C378" s="1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34"/>
      <c r="S378" s="2"/>
      <c r="T378" s="2"/>
      <c r="U378" s="1"/>
      <c r="V378" s="1"/>
      <c r="W378" s="1"/>
      <c r="X378" s="1"/>
      <c r="Y378" s="1"/>
      <c r="Z378" s="1"/>
    </row>
    <row r="379" spans="1:26" ht="15.75" customHeight="1" x14ac:dyDescent="0.4">
      <c r="A379" s="1"/>
      <c r="B379" s="1"/>
      <c r="C379" s="1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34"/>
      <c r="S379" s="2"/>
      <c r="T379" s="2"/>
      <c r="U379" s="1"/>
      <c r="V379" s="1"/>
      <c r="W379" s="1"/>
      <c r="X379" s="1"/>
      <c r="Y379" s="1"/>
      <c r="Z379" s="1"/>
    </row>
    <row r="380" spans="1:26" ht="15.75" customHeight="1" x14ac:dyDescent="0.4">
      <c r="A380" s="1"/>
      <c r="B380" s="1"/>
      <c r="C380" s="1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34"/>
      <c r="S380" s="2"/>
      <c r="T380" s="2"/>
      <c r="U380" s="1"/>
      <c r="V380" s="1"/>
      <c r="W380" s="1"/>
      <c r="X380" s="1"/>
      <c r="Y380" s="1"/>
      <c r="Z380" s="1"/>
    </row>
    <row r="381" spans="1:26" ht="15.75" customHeight="1" x14ac:dyDescent="0.4">
      <c r="A381" s="1"/>
      <c r="B381" s="1"/>
      <c r="C381" s="1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34"/>
      <c r="S381" s="2"/>
      <c r="T381" s="2"/>
      <c r="U381" s="1"/>
      <c r="V381" s="1"/>
      <c r="W381" s="1"/>
      <c r="X381" s="1"/>
      <c r="Y381" s="1"/>
      <c r="Z381" s="1"/>
    </row>
    <row r="382" spans="1:26" ht="15.75" customHeight="1" x14ac:dyDescent="0.4">
      <c r="A382" s="1"/>
      <c r="B382" s="1"/>
      <c r="C382" s="1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34"/>
      <c r="S382" s="2"/>
      <c r="T382" s="2"/>
      <c r="U382" s="1"/>
      <c r="V382" s="1"/>
      <c r="W382" s="1"/>
      <c r="X382" s="1"/>
      <c r="Y382" s="1"/>
      <c r="Z382" s="1"/>
    </row>
    <row r="383" spans="1:26" ht="15.75" customHeight="1" x14ac:dyDescent="0.4">
      <c r="A383" s="1"/>
      <c r="B383" s="1"/>
      <c r="C383" s="1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34"/>
      <c r="S383" s="2"/>
      <c r="T383" s="2"/>
      <c r="U383" s="1"/>
      <c r="V383" s="1"/>
      <c r="W383" s="1"/>
      <c r="X383" s="1"/>
      <c r="Y383" s="1"/>
      <c r="Z383" s="1"/>
    </row>
    <row r="384" spans="1:26" ht="15.75" customHeight="1" x14ac:dyDescent="0.4">
      <c r="A384" s="1"/>
      <c r="B384" s="1"/>
      <c r="C384" s="1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34"/>
      <c r="S384" s="2"/>
      <c r="T384" s="2"/>
      <c r="U384" s="1"/>
      <c r="V384" s="1"/>
      <c r="W384" s="1"/>
      <c r="X384" s="1"/>
      <c r="Y384" s="1"/>
      <c r="Z384" s="1"/>
    </row>
    <row r="385" spans="1:26" ht="15.75" customHeight="1" x14ac:dyDescent="0.4">
      <c r="A385" s="1"/>
      <c r="B385" s="1"/>
      <c r="C385" s="1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34"/>
      <c r="S385" s="2"/>
      <c r="T385" s="2"/>
      <c r="U385" s="1"/>
      <c r="V385" s="1"/>
      <c r="W385" s="1"/>
      <c r="X385" s="1"/>
      <c r="Y385" s="1"/>
      <c r="Z385" s="1"/>
    </row>
    <row r="386" spans="1:26" ht="15.75" customHeight="1" x14ac:dyDescent="0.4">
      <c r="A386" s="1"/>
      <c r="B386" s="1"/>
      <c r="C386" s="1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34"/>
      <c r="S386" s="2"/>
      <c r="T386" s="2"/>
      <c r="U386" s="1"/>
      <c r="V386" s="1"/>
      <c r="W386" s="1"/>
      <c r="X386" s="1"/>
      <c r="Y386" s="1"/>
      <c r="Z386" s="1"/>
    </row>
    <row r="387" spans="1:26" ht="15.75" customHeight="1" x14ac:dyDescent="0.4">
      <c r="A387" s="1"/>
      <c r="B387" s="1"/>
      <c r="C387" s="1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34"/>
      <c r="S387" s="2"/>
      <c r="T387" s="2"/>
      <c r="U387" s="1"/>
      <c r="V387" s="1"/>
      <c r="W387" s="1"/>
      <c r="X387" s="1"/>
      <c r="Y387" s="1"/>
      <c r="Z387" s="1"/>
    </row>
    <row r="388" spans="1:26" ht="15.75" customHeight="1" x14ac:dyDescent="0.4">
      <c r="A388" s="1"/>
      <c r="B388" s="1"/>
      <c r="C388" s="1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34"/>
      <c r="S388" s="2"/>
      <c r="T388" s="2"/>
      <c r="U388" s="1"/>
      <c r="V388" s="1"/>
      <c r="W388" s="1"/>
      <c r="X388" s="1"/>
      <c r="Y388" s="1"/>
      <c r="Z388" s="1"/>
    </row>
    <row r="389" spans="1:26" ht="15.75" customHeight="1" x14ac:dyDescent="0.4">
      <c r="A389" s="1"/>
      <c r="B389" s="1"/>
      <c r="C389" s="1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34"/>
      <c r="S389" s="2"/>
      <c r="T389" s="2"/>
      <c r="U389" s="1"/>
      <c r="V389" s="1"/>
      <c r="W389" s="1"/>
      <c r="X389" s="1"/>
      <c r="Y389" s="1"/>
      <c r="Z389" s="1"/>
    </row>
    <row r="390" spans="1:26" ht="15.75" customHeight="1" x14ac:dyDescent="0.4">
      <c r="A390" s="1"/>
      <c r="B390" s="1"/>
      <c r="C390" s="1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34"/>
      <c r="S390" s="2"/>
      <c r="T390" s="2"/>
      <c r="U390" s="1"/>
      <c r="V390" s="1"/>
      <c r="W390" s="1"/>
      <c r="X390" s="1"/>
      <c r="Y390" s="1"/>
      <c r="Z390" s="1"/>
    </row>
    <row r="391" spans="1:26" ht="15.75" customHeight="1" x14ac:dyDescent="0.4">
      <c r="A391" s="1"/>
      <c r="B391" s="1"/>
      <c r="C391" s="1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34"/>
      <c r="S391" s="2"/>
      <c r="T391" s="2"/>
      <c r="U391" s="1"/>
      <c r="V391" s="1"/>
      <c r="W391" s="1"/>
      <c r="X391" s="1"/>
      <c r="Y391" s="1"/>
      <c r="Z391" s="1"/>
    </row>
    <row r="392" spans="1:26" ht="15.75" customHeight="1" x14ac:dyDescent="0.4">
      <c r="A392" s="1"/>
      <c r="B392" s="1"/>
      <c r="C392" s="1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34"/>
      <c r="S392" s="2"/>
      <c r="T392" s="2"/>
      <c r="U392" s="1"/>
      <c r="V392" s="1"/>
      <c r="W392" s="1"/>
      <c r="X392" s="1"/>
      <c r="Y392" s="1"/>
      <c r="Z392" s="1"/>
    </row>
    <row r="393" spans="1:26" ht="15.75" customHeight="1" x14ac:dyDescent="0.4">
      <c r="A393" s="1"/>
      <c r="B393" s="1"/>
      <c r="C393" s="1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34"/>
      <c r="S393" s="2"/>
      <c r="T393" s="2"/>
      <c r="U393" s="1"/>
      <c r="V393" s="1"/>
      <c r="W393" s="1"/>
      <c r="X393" s="1"/>
      <c r="Y393" s="1"/>
      <c r="Z393" s="1"/>
    </row>
    <row r="394" spans="1:26" ht="15.75" customHeight="1" x14ac:dyDescent="0.4">
      <c r="A394" s="1"/>
      <c r="B394" s="1"/>
      <c r="C394" s="1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34"/>
      <c r="S394" s="2"/>
      <c r="T394" s="2"/>
      <c r="U394" s="1"/>
      <c r="V394" s="1"/>
      <c r="W394" s="1"/>
      <c r="X394" s="1"/>
      <c r="Y394" s="1"/>
      <c r="Z394" s="1"/>
    </row>
    <row r="395" spans="1:26" ht="15.75" customHeight="1" x14ac:dyDescent="0.4">
      <c r="A395" s="1"/>
      <c r="B395" s="1"/>
      <c r="C395" s="1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34"/>
      <c r="S395" s="2"/>
      <c r="T395" s="2"/>
      <c r="U395" s="1"/>
      <c r="V395" s="1"/>
      <c r="W395" s="1"/>
      <c r="X395" s="1"/>
      <c r="Y395" s="1"/>
      <c r="Z395" s="1"/>
    </row>
    <row r="396" spans="1:26" ht="15.75" customHeight="1" x14ac:dyDescent="0.4">
      <c r="A396" s="1"/>
      <c r="B396" s="1"/>
      <c r="C396" s="1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34"/>
      <c r="S396" s="2"/>
      <c r="T396" s="2"/>
      <c r="U396" s="1"/>
      <c r="V396" s="1"/>
      <c r="W396" s="1"/>
      <c r="X396" s="1"/>
      <c r="Y396" s="1"/>
      <c r="Z396" s="1"/>
    </row>
    <row r="397" spans="1:26" ht="15.75" customHeight="1" x14ac:dyDescent="0.4">
      <c r="A397" s="1"/>
      <c r="B397" s="1"/>
      <c r="C397" s="1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34"/>
      <c r="S397" s="2"/>
      <c r="T397" s="2"/>
      <c r="U397" s="1"/>
      <c r="V397" s="1"/>
      <c r="W397" s="1"/>
      <c r="X397" s="1"/>
      <c r="Y397" s="1"/>
      <c r="Z397" s="1"/>
    </row>
    <row r="398" spans="1:26" ht="15.75" customHeight="1" x14ac:dyDescent="0.4">
      <c r="A398" s="1"/>
      <c r="B398" s="1"/>
      <c r="C398" s="1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34"/>
      <c r="S398" s="2"/>
      <c r="T398" s="2"/>
      <c r="U398" s="1"/>
      <c r="V398" s="1"/>
      <c r="W398" s="1"/>
      <c r="X398" s="1"/>
      <c r="Y398" s="1"/>
      <c r="Z398" s="1"/>
    </row>
    <row r="399" spans="1:26" ht="15.75" customHeight="1" x14ac:dyDescent="0.4">
      <c r="A399" s="1"/>
      <c r="B399" s="1"/>
      <c r="C399" s="1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34"/>
      <c r="S399" s="2"/>
      <c r="T399" s="2"/>
      <c r="U399" s="1"/>
      <c r="V399" s="1"/>
      <c r="W399" s="1"/>
      <c r="X399" s="1"/>
      <c r="Y399" s="1"/>
      <c r="Z399" s="1"/>
    </row>
    <row r="400" spans="1:26" ht="15.75" customHeight="1" x14ac:dyDescent="0.4">
      <c r="A400" s="1"/>
      <c r="B400" s="1"/>
      <c r="C400" s="1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34"/>
      <c r="S400" s="2"/>
      <c r="T400" s="2"/>
      <c r="U400" s="1"/>
      <c r="V400" s="1"/>
      <c r="W400" s="1"/>
      <c r="X400" s="1"/>
      <c r="Y400" s="1"/>
      <c r="Z400" s="1"/>
    </row>
    <row r="401" spans="1:26" ht="15.75" customHeight="1" x14ac:dyDescent="0.4">
      <c r="A401" s="1"/>
      <c r="B401" s="1"/>
      <c r="C401" s="1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34"/>
      <c r="S401" s="2"/>
      <c r="T401" s="2"/>
      <c r="U401" s="1"/>
      <c r="V401" s="1"/>
      <c r="W401" s="1"/>
      <c r="X401" s="1"/>
      <c r="Y401" s="1"/>
      <c r="Z401" s="1"/>
    </row>
    <row r="402" spans="1:26" ht="15.75" customHeight="1" x14ac:dyDescent="0.4">
      <c r="A402" s="1"/>
      <c r="B402" s="1"/>
      <c r="C402" s="1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34"/>
      <c r="S402" s="2"/>
      <c r="T402" s="2"/>
      <c r="U402" s="1"/>
      <c r="V402" s="1"/>
      <c r="W402" s="1"/>
      <c r="X402" s="1"/>
      <c r="Y402" s="1"/>
      <c r="Z402" s="1"/>
    </row>
    <row r="403" spans="1:26" ht="15.75" customHeight="1" x14ac:dyDescent="0.4">
      <c r="A403" s="1"/>
      <c r="B403" s="1"/>
      <c r="C403" s="1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34"/>
      <c r="S403" s="2"/>
      <c r="T403" s="2"/>
      <c r="U403" s="1"/>
      <c r="V403" s="1"/>
      <c r="W403" s="1"/>
      <c r="X403" s="1"/>
      <c r="Y403" s="1"/>
      <c r="Z403" s="1"/>
    </row>
    <row r="404" spans="1:26" ht="15.75" customHeight="1" x14ac:dyDescent="0.4">
      <c r="A404" s="1"/>
      <c r="B404" s="1"/>
      <c r="C404" s="1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34"/>
      <c r="S404" s="2"/>
      <c r="T404" s="2"/>
      <c r="U404" s="1"/>
      <c r="V404" s="1"/>
      <c r="W404" s="1"/>
      <c r="X404" s="1"/>
      <c r="Y404" s="1"/>
      <c r="Z404" s="1"/>
    </row>
    <row r="405" spans="1:26" ht="15.75" customHeight="1" x14ac:dyDescent="0.4">
      <c r="A405" s="1"/>
      <c r="B405" s="1"/>
      <c r="C405" s="1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34"/>
      <c r="S405" s="2"/>
      <c r="T405" s="2"/>
      <c r="U405" s="1"/>
      <c r="V405" s="1"/>
      <c r="W405" s="1"/>
      <c r="X405" s="1"/>
      <c r="Y405" s="1"/>
      <c r="Z405" s="1"/>
    </row>
    <row r="406" spans="1:26" ht="15.75" customHeight="1" x14ac:dyDescent="0.4">
      <c r="A406" s="1"/>
      <c r="B406" s="1"/>
      <c r="C406" s="1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34"/>
      <c r="S406" s="2"/>
      <c r="T406" s="2"/>
      <c r="U406" s="1"/>
      <c r="V406" s="1"/>
      <c r="W406" s="1"/>
      <c r="X406" s="1"/>
      <c r="Y406" s="1"/>
      <c r="Z406" s="1"/>
    </row>
    <row r="407" spans="1:26" ht="15.75" customHeight="1" x14ac:dyDescent="0.4">
      <c r="A407" s="1"/>
      <c r="B407" s="1"/>
      <c r="C407" s="1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34"/>
      <c r="S407" s="2"/>
      <c r="T407" s="2"/>
      <c r="U407" s="1"/>
      <c r="V407" s="1"/>
      <c r="W407" s="1"/>
      <c r="X407" s="1"/>
      <c r="Y407" s="1"/>
      <c r="Z407" s="1"/>
    </row>
    <row r="408" spans="1:26" ht="15.75" customHeight="1" x14ac:dyDescent="0.4">
      <c r="A408" s="1"/>
      <c r="B408" s="1"/>
      <c r="C408" s="1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34"/>
      <c r="S408" s="2"/>
      <c r="T408" s="2"/>
      <c r="U408" s="1"/>
      <c r="V408" s="1"/>
      <c r="W408" s="1"/>
      <c r="X408" s="1"/>
      <c r="Y408" s="1"/>
      <c r="Z408" s="1"/>
    </row>
    <row r="409" spans="1:26" ht="15.75" customHeight="1" x14ac:dyDescent="0.4">
      <c r="A409" s="1"/>
      <c r="B409" s="1"/>
      <c r="C409" s="1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34"/>
      <c r="S409" s="2"/>
      <c r="T409" s="2"/>
      <c r="U409" s="1"/>
      <c r="V409" s="1"/>
      <c r="W409" s="1"/>
      <c r="X409" s="1"/>
      <c r="Y409" s="1"/>
      <c r="Z409" s="1"/>
    </row>
    <row r="410" spans="1:26" ht="15.75" customHeight="1" x14ac:dyDescent="0.4">
      <c r="A410" s="1"/>
      <c r="B410" s="1"/>
      <c r="C410" s="1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34"/>
      <c r="S410" s="2"/>
      <c r="T410" s="2"/>
      <c r="U410" s="1"/>
      <c r="V410" s="1"/>
      <c r="W410" s="1"/>
      <c r="X410" s="1"/>
      <c r="Y410" s="1"/>
      <c r="Z410" s="1"/>
    </row>
    <row r="411" spans="1:26" ht="15.75" customHeight="1" x14ac:dyDescent="0.4">
      <c r="A411" s="1"/>
      <c r="B411" s="1"/>
      <c r="C411" s="1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34"/>
      <c r="S411" s="2"/>
      <c r="T411" s="2"/>
      <c r="U411" s="1"/>
      <c r="V411" s="1"/>
      <c r="W411" s="1"/>
      <c r="X411" s="1"/>
      <c r="Y411" s="1"/>
      <c r="Z411" s="1"/>
    </row>
    <row r="412" spans="1:26" ht="15.75" customHeight="1" x14ac:dyDescent="0.4">
      <c r="A412" s="1"/>
      <c r="B412" s="1"/>
      <c r="C412" s="1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34"/>
      <c r="S412" s="2"/>
      <c r="T412" s="2"/>
      <c r="U412" s="1"/>
      <c r="V412" s="1"/>
      <c r="W412" s="1"/>
      <c r="X412" s="1"/>
      <c r="Y412" s="1"/>
      <c r="Z412" s="1"/>
    </row>
    <row r="413" spans="1:26" ht="15.75" customHeight="1" x14ac:dyDescent="0.4">
      <c r="A413" s="1"/>
      <c r="B413" s="1"/>
      <c r="C413" s="1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34"/>
      <c r="S413" s="2"/>
      <c r="T413" s="2"/>
      <c r="U413" s="1"/>
      <c r="V413" s="1"/>
      <c r="W413" s="1"/>
      <c r="X413" s="1"/>
      <c r="Y413" s="1"/>
      <c r="Z413" s="1"/>
    </row>
    <row r="414" spans="1:26" ht="15.75" customHeight="1" x14ac:dyDescent="0.4">
      <c r="A414" s="1"/>
      <c r="B414" s="1"/>
      <c r="C414" s="1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34"/>
      <c r="S414" s="2"/>
      <c r="T414" s="2"/>
      <c r="U414" s="1"/>
      <c r="V414" s="1"/>
      <c r="W414" s="1"/>
      <c r="X414" s="1"/>
      <c r="Y414" s="1"/>
      <c r="Z414" s="1"/>
    </row>
    <row r="415" spans="1:26" ht="15.75" customHeight="1" x14ac:dyDescent="0.4">
      <c r="A415" s="1"/>
      <c r="B415" s="1"/>
      <c r="C415" s="1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34"/>
      <c r="S415" s="2"/>
      <c r="T415" s="2"/>
      <c r="U415" s="1"/>
      <c r="V415" s="1"/>
      <c r="W415" s="1"/>
      <c r="X415" s="1"/>
      <c r="Y415" s="1"/>
      <c r="Z415" s="1"/>
    </row>
    <row r="416" spans="1:26" ht="15.75" customHeight="1" x14ac:dyDescent="0.4">
      <c r="A416" s="1"/>
      <c r="B416" s="1"/>
      <c r="C416" s="1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34"/>
      <c r="S416" s="2"/>
      <c r="T416" s="2"/>
      <c r="U416" s="1"/>
      <c r="V416" s="1"/>
      <c r="W416" s="1"/>
      <c r="X416" s="1"/>
      <c r="Y416" s="1"/>
      <c r="Z416" s="1"/>
    </row>
    <row r="417" spans="1:26" ht="15.75" customHeight="1" x14ac:dyDescent="0.4">
      <c r="A417" s="1"/>
      <c r="B417" s="1"/>
      <c r="C417" s="1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34"/>
      <c r="S417" s="2"/>
      <c r="T417" s="2"/>
      <c r="U417" s="1"/>
      <c r="V417" s="1"/>
      <c r="W417" s="1"/>
      <c r="X417" s="1"/>
      <c r="Y417" s="1"/>
      <c r="Z417" s="1"/>
    </row>
    <row r="418" spans="1:26" ht="15.75" customHeight="1" x14ac:dyDescent="0.4">
      <c r="A418" s="1"/>
      <c r="B418" s="1"/>
      <c r="C418" s="1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34"/>
      <c r="S418" s="2"/>
      <c r="T418" s="2"/>
      <c r="U418" s="1"/>
      <c r="V418" s="1"/>
      <c r="W418" s="1"/>
      <c r="X418" s="1"/>
      <c r="Y418" s="1"/>
      <c r="Z418" s="1"/>
    </row>
    <row r="419" spans="1:26" ht="15.75" customHeight="1" x14ac:dyDescent="0.4">
      <c r="A419" s="1"/>
      <c r="B419" s="1"/>
      <c r="C419" s="1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34"/>
      <c r="S419" s="2"/>
      <c r="T419" s="2"/>
      <c r="U419" s="1"/>
      <c r="V419" s="1"/>
      <c r="W419" s="1"/>
      <c r="X419" s="1"/>
      <c r="Y419" s="1"/>
      <c r="Z419" s="1"/>
    </row>
    <row r="420" spans="1:26" ht="15.75" customHeight="1" x14ac:dyDescent="0.4">
      <c r="A420" s="1"/>
      <c r="B420" s="1"/>
      <c r="C420" s="1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34"/>
      <c r="S420" s="2"/>
      <c r="T420" s="2"/>
      <c r="U420" s="1"/>
      <c r="V420" s="1"/>
      <c r="W420" s="1"/>
      <c r="X420" s="1"/>
      <c r="Y420" s="1"/>
      <c r="Z420" s="1"/>
    </row>
    <row r="421" spans="1:26" ht="15.75" customHeight="1" x14ac:dyDescent="0.4">
      <c r="A421" s="1"/>
      <c r="B421" s="1"/>
      <c r="C421" s="1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34"/>
      <c r="S421" s="2"/>
      <c r="T421" s="2"/>
      <c r="U421" s="1"/>
      <c r="V421" s="1"/>
      <c r="W421" s="1"/>
      <c r="X421" s="1"/>
      <c r="Y421" s="1"/>
      <c r="Z421" s="1"/>
    </row>
    <row r="422" spans="1:26" ht="15.75" customHeight="1" x14ac:dyDescent="0.4">
      <c r="A422" s="1"/>
      <c r="B422" s="1"/>
      <c r="C422" s="1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34"/>
      <c r="S422" s="2"/>
      <c r="T422" s="2"/>
      <c r="U422" s="1"/>
      <c r="V422" s="1"/>
      <c r="W422" s="1"/>
      <c r="X422" s="1"/>
      <c r="Y422" s="1"/>
      <c r="Z422" s="1"/>
    </row>
    <row r="423" spans="1:26" ht="15.75" customHeight="1" x14ac:dyDescent="0.4">
      <c r="A423" s="1"/>
      <c r="B423" s="1"/>
      <c r="C423" s="1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34"/>
      <c r="S423" s="2"/>
      <c r="T423" s="2"/>
      <c r="U423" s="1"/>
      <c r="V423" s="1"/>
      <c r="W423" s="1"/>
      <c r="X423" s="1"/>
      <c r="Y423" s="1"/>
      <c r="Z423" s="1"/>
    </row>
    <row r="424" spans="1:26" ht="15.75" customHeight="1" x14ac:dyDescent="0.4">
      <c r="A424" s="1"/>
      <c r="B424" s="1"/>
      <c r="C424" s="1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34"/>
      <c r="S424" s="2"/>
      <c r="T424" s="2"/>
      <c r="U424" s="1"/>
      <c r="V424" s="1"/>
      <c r="W424" s="1"/>
      <c r="X424" s="1"/>
      <c r="Y424" s="1"/>
      <c r="Z424" s="1"/>
    </row>
    <row r="425" spans="1:26" ht="15.75" customHeight="1" x14ac:dyDescent="0.4">
      <c r="A425" s="1"/>
      <c r="B425" s="1"/>
      <c r="C425" s="1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34"/>
      <c r="S425" s="2"/>
      <c r="T425" s="2"/>
      <c r="U425" s="1"/>
      <c r="V425" s="1"/>
      <c r="W425" s="1"/>
      <c r="X425" s="1"/>
      <c r="Y425" s="1"/>
      <c r="Z425" s="1"/>
    </row>
    <row r="426" spans="1:26" ht="15.75" customHeight="1" x14ac:dyDescent="0.4">
      <c r="A426" s="1"/>
      <c r="B426" s="1"/>
      <c r="C426" s="1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34"/>
      <c r="S426" s="2"/>
      <c r="T426" s="2"/>
      <c r="U426" s="1"/>
      <c r="V426" s="1"/>
      <c r="W426" s="1"/>
      <c r="X426" s="1"/>
      <c r="Y426" s="1"/>
      <c r="Z426" s="1"/>
    </row>
    <row r="427" spans="1:26" ht="15.75" customHeight="1" x14ac:dyDescent="0.4">
      <c r="A427" s="1"/>
      <c r="B427" s="1"/>
      <c r="C427" s="1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34"/>
      <c r="S427" s="2"/>
      <c r="T427" s="2"/>
      <c r="U427" s="1"/>
      <c r="V427" s="1"/>
      <c r="W427" s="1"/>
      <c r="X427" s="1"/>
      <c r="Y427" s="1"/>
      <c r="Z427" s="1"/>
    </row>
    <row r="428" spans="1:26" ht="15.75" customHeight="1" x14ac:dyDescent="0.4">
      <c r="A428" s="1"/>
      <c r="B428" s="1"/>
      <c r="C428" s="1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34"/>
      <c r="S428" s="2"/>
      <c r="T428" s="2"/>
      <c r="U428" s="1"/>
      <c r="V428" s="1"/>
      <c r="W428" s="1"/>
      <c r="X428" s="1"/>
      <c r="Y428" s="1"/>
      <c r="Z428" s="1"/>
    </row>
    <row r="429" spans="1:26" ht="15.75" customHeight="1" x14ac:dyDescent="0.4">
      <c r="A429" s="1"/>
      <c r="B429" s="1"/>
      <c r="C429" s="1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34"/>
      <c r="S429" s="2"/>
      <c r="T429" s="2"/>
      <c r="U429" s="1"/>
      <c r="V429" s="1"/>
      <c r="W429" s="1"/>
      <c r="X429" s="1"/>
      <c r="Y429" s="1"/>
      <c r="Z429" s="1"/>
    </row>
    <row r="430" spans="1:26" ht="15.75" customHeight="1" x14ac:dyDescent="0.4">
      <c r="A430" s="1"/>
      <c r="B430" s="1"/>
      <c r="C430" s="1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34"/>
      <c r="S430" s="2"/>
      <c r="T430" s="2"/>
      <c r="U430" s="1"/>
      <c r="V430" s="1"/>
      <c r="W430" s="1"/>
      <c r="X430" s="1"/>
      <c r="Y430" s="1"/>
      <c r="Z430" s="1"/>
    </row>
    <row r="431" spans="1:26" ht="15.75" customHeight="1" x14ac:dyDescent="0.4">
      <c r="A431" s="1"/>
      <c r="B431" s="1"/>
      <c r="C431" s="1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34"/>
      <c r="S431" s="2"/>
      <c r="T431" s="2"/>
      <c r="U431" s="1"/>
      <c r="V431" s="1"/>
      <c r="W431" s="1"/>
      <c r="X431" s="1"/>
      <c r="Y431" s="1"/>
      <c r="Z431" s="1"/>
    </row>
    <row r="432" spans="1:26" ht="15.75" customHeight="1" x14ac:dyDescent="0.4">
      <c r="A432" s="1"/>
      <c r="B432" s="1"/>
      <c r="C432" s="1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34"/>
      <c r="S432" s="2"/>
      <c r="T432" s="2"/>
      <c r="U432" s="1"/>
      <c r="V432" s="1"/>
      <c r="W432" s="1"/>
      <c r="X432" s="1"/>
      <c r="Y432" s="1"/>
      <c r="Z432" s="1"/>
    </row>
    <row r="433" spans="1:26" ht="15.75" customHeight="1" x14ac:dyDescent="0.4">
      <c r="A433" s="1"/>
      <c r="B433" s="1"/>
      <c r="C433" s="1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34"/>
      <c r="S433" s="2"/>
      <c r="T433" s="2"/>
      <c r="U433" s="1"/>
      <c r="V433" s="1"/>
      <c r="W433" s="1"/>
      <c r="X433" s="1"/>
      <c r="Y433" s="1"/>
      <c r="Z433" s="1"/>
    </row>
    <row r="434" spans="1:26" ht="15.75" customHeight="1" x14ac:dyDescent="0.4">
      <c r="A434" s="1"/>
      <c r="B434" s="1"/>
      <c r="C434" s="1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34"/>
      <c r="S434" s="2"/>
      <c r="T434" s="2"/>
      <c r="U434" s="1"/>
      <c r="V434" s="1"/>
      <c r="W434" s="1"/>
      <c r="X434" s="1"/>
      <c r="Y434" s="1"/>
      <c r="Z434" s="1"/>
    </row>
    <row r="435" spans="1:26" ht="15.75" customHeight="1" x14ac:dyDescent="0.4">
      <c r="A435" s="1"/>
      <c r="B435" s="1"/>
      <c r="C435" s="1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34"/>
      <c r="S435" s="2"/>
      <c r="T435" s="2"/>
      <c r="U435" s="1"/>
      <c r="V435" s="1"/>
      <c r="W435" s="1"/>
      <c r="X435" s="1"/>
      <c r="Y435" s="1"/>
      <c r="Z435" s="1"/>
    </row>
    <row r="436" spans="1:26" ht="15.75" customHeight="1" x14ac:dyDescent="0.4">
      <c r="A436" s="1"/>
      <c r="B436" s="1"/>
      <c r="C436" s="1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34"/>
      <c r="S436" s="2"/>
      <c r="T436" s="2"/>
      <c r="U436" s="1"/>
      <c r="V436" s="1"/>
      <c r="W436" s="1"/>
      <c r="X436" s="1"/>
      <c r="Y436" s="1"/>
      <c r="Z436" s="1"/>
    </row>
    <row r="437" spans="1:26" ht="15.75" customHeight="1" x14ac:dyDescent="0.4">
      <c r="A437" s="1"/>
      <c r="B437" s="1"/>
      <c r="C437" s="1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34"/>
      <c r="S437" s="2"/>
      <c r="T437" s="2"/>
      <c r="U437" s="1"/>
      <c r="V437" s="1"/>
      <c r="W437" s="1"/>
      <c r="X437" s="1"/>
      <c r="Y437" s="1"/>
      <c r="Z437" s="1"/>
    </row>
    <row r="438" spans="1:26" ht="15.75" customHeight="1" x14ac:dyDescent="0.4">
      <c r="A438" s="1"/>
      <c r="B438" s="1"/>
      <c r="C438" s="1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34"/>
      <c r="S438" s="2"/>
      <c r="T438" s="2"/>
      <c r="U438" s="1"/>
      <c r="V438" s="1"/>
      <c r="W438" s="1"/>
      <c r="X438" s="1"/>
      <c r="Y438" s="1"/>
      <c r="Z438" s="1"/>
    </row>
    <row r="439" spans="1:26" ht="15.75" customHeight="1" x14ac:dyDescent="0.4">
      <c r="A439" s="1"/>
      <c r="B439" s="1"/>
      <c r="C439" s="1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34"/>
      <c r="S439" s="2"/>
      <c r="T439" s="2"/>
      <c r="U439" s="1"/>
      <c r="V439" s="1"/>
      <c r="W439" s="1"/>
      <c r="X439" s="1"/>
      <c r="Y439" s="1"/>
      <c r="Z439" s="1"/>
    </row>
    <row r="440" spans="1:26" ht="15.75" customHeight="1" x14ac:dyDescent="0.4">
      <c r="A440" s="1"/>
      <c r="B440" s="1"/>
      <c r="C440" s="1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34"/>
      <c r="S440" s="2"/>
      <c r="T440" s="2"/>
      <c r="U440" s="1"/>
      <c r="V440" s="1"/>
      <c r="W440" s="1"/>
      <c r="X440" s="1"/>
      <c r="Y440" s="1"/>
      <c r="Z440" s="1"/>
    </row>
    <row r="441" spans="1:26" ht="15.75" customHeight="1" x14ac:dyDescent="0.4">
      <c r="A441" s="1"/>
      <c r="B441" s="1"/>
      <c r="C441" s="1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34"/>
      <c r="S441" s="2"/>
      <c r="T441" s="2"/>
      <c r="U441" s="1"/>
      <c r="V441" s="1"/>
      <c r="W441" s="1"/>
      <c r="X441" s="1"/>
      <c r="Y441" s="1"/>
      <c r="Z441" s="1"/>
    </row>
    <row r="442" spans="1:26" ht="15.75" customHeight="1" x14ac:dyDescent="0.4">
      <c r="A442" s="1"/>
      <c r="B442" s="1"/>
      <c r="C442" s="1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34"/>
      <c r="S442" s="2"/>
      <c r="T442" s="2"/>
      <c r="U442" s="1"/>
      <c r="V442" s="1"/>
      <c r="W442" s="1"/>
      <c r="X442" s="1"/>
      <c r="Y442" s="1"/>
      <c r="Z442" s="1"/>
    </row>
    <row r="443" spans="1:26" ht="15.75" customHeight="1" x14ac:dyDescent="0.4">
      <c r="A443" s="1"/>
      <c r="B443" s="1"/>
      <c r="C443" s="1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34"/>
      <c r="S443" s="2"/>
      <c r="T443" s="2"/>
      <c r="U443" s="1"/>
      <c r="V443" s="1"/>
      <c r="W443" s="1"/>
      <c r="X443" s="1"/>
      <c r="Y443" s="1"/>
      <c r="Z443" s="1"/>
    </row>
    <row r="444" spans="1:26" ht="15.75" customHeight="1" x14ac:dyDescent="0.4">
      <c r="A444" s="1"/>
      <c r="B444" s="1"/>
      <c r="C444" s="1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34"/>
      <c r="S444" s="2"/>
      <c r="T444" s="2"/>
      <c r="U444" s="1"/>
      <c r="V444" s="1"/>
      <c r="W444" s="1"/>
      <c r="X444" s="1"/>
      <c r="Y444" s="1"/>
      <c r="Z444" s="1"/>
    </row>
    <row r="445" spans="1:26" ht="15.75" customHeight="1" x14ac:dyDescent="0.4">
      <c r="A445" s="1"/>
      <c r="B445" s="1"/>
      <c r="C445" s="1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34"/>
      <c r="S445" s="2"/>
      <c r="T445" s="2"/>
      <c r="U445" s="1"/>
      <c r="V445" s="1"/>
      <c r="W445" s="1"/>
      <c r="X445" s="1"/>
      <c r="Y445" s="1"/>
      <c r="Z445" s="1"/>
    </row>
    <row r="446" spans="1:26" ht="15.75" customHeight="1" x14ac:dyDescent="0.4">
      <c r="A446" s="1"/>
      <c r="B446" s="1"/>
      <c r="C446" s="1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34"/>
      <c r="S446" s="2"/>
      <c r="T446" s="2"/>
      <c r="U446" s="1"/>
      <c r="V446" s="1"/>
      <c r="W446" s="1"/>
      <c r="X446" s="1"/>
      <c r="Y446" s="1"/>
      <c r="Z446" s="1"/>
    </row>
    <row r="447" spans="1:26" ht="15.75" customHeight="1" x14ac:dyDescent="0.4">
      <c r="A447" s="1"/>
      <c r="B447" s="1"/>
      <c r="C447" s="1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34"/>
      <c r="S447" s="2"/>
      <c r="T447" s="2"/>
      <c r="U447" s="1"/>
      <c r="V447" s="1"/>
      <c r="W447" s="1"/>
      <c r="X447" s="1"/>
      <c r="Y447" s="1"/>
      <c r="Z447" s="1"/>
    </row>
    <row r="448" spans="1:26" ht="15.75" customHeight="1" x14ac:dyDescent="0.4">
      <c r="A448" s="1"/>
      <c r="B448" s="1"/>
      <c r="C448" s="1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34"/>
      <c r="S448" s="2"/>
      <c r="T448" s="2"/>
      <c r="U448" s="1"/>
      <c r="V448" s="1"/>
      <c r="W448" s="1"/>
      <c r="X448" s="1"/>
      <c r="Y448" s="1"/>
      <c r="Z448" s="1"/>
    </row>
    <row r="449" spans="1:26" ht="15.75" customHeight="1" x14ac:dyDescent="0.4">
      <c r="A449" s="1"/>
      <c r="B449" s="1"/>
      <c r="C449" s="1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34"/>
      <c r="S449" s="2"/>
      <c r="T449" s="2"/>
      <c r="U449" s="1"/>
      <c r="V449" s="1"/>
      <c r="W449" s="1"/>
      <c r="X449" s="1"/>
      <c r="Y449" s="1"/>
      <c r="Z449" s="1"/>
    </row>
    <row r="450" spans="1:26" ht="15.75" customHeight="1" x14ac:dyDescent="0.4">
      <c r="A450" s="1"/>
      <c r="B450" s="1"/>
      <c r="C450" s="1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34"/>
      <c r="S450" s="2"/>
      <c r="T450" s="2"/>
      <c r="U450" s="1"/>
      <c r="V450" s="1"/>
      <c r="W450" s="1"/>
      <c r="X450" s="1"/>
      <c r="Y450" s="1"/>
      <c r="Z450" s="1"/>
    </row>
    <row r="451" spans="1:26" ht="15.75" customHeight="1" x14ac:dyDescent="0.4">
      <c r="A451" s="1"/>
      <c r="B451" s="1"/>
      <c r="C451" s="1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34"/>
      <c r="S451" s="2"/>
      <c r="T451" s="2"/>
      <c r="U451" s="1"/>
      <c r="V451" s="1"/>
      <c r="W451" s="1"/>
      <c r="X451" s="1"/>
      <c r="Y451" s="1"/>
      <c r="Z451" s="1"/>
    </row>
    <row r="452" spans="1:26" ht="15.75" customHeight="1" x14ac:dyDescent="0.4">
      <c r="A452" s="1"/>
      <c r="B452" s="1"/>
      <c r="C452" s="1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34"/>
      <c r="S452" s="2"/>
      <c r="T452" s="2"/>
      <c r="U452" s="1"/>
      <c r="V452" s="1"/>
      <c r="W452" s="1"/>
      <c r="X452" s="1"/>
      <c r="Y452" s="1"/>
      <c r="Z452" s="1"/>
    </row>
    <row r="453" spans="1:26" ht="15.75" customHeight="1" x14ac:dyDescent="0.4">
      <c r="A453" s="1"/>
      <c r="B453" s="1"/>
      <c r="C453" s="1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34"/>
      <c r="S453" s="2"/>
      <c r="T453" s="2"/>
      <c r="U453" s="1"/>
      <c r="V453" s="1"/>
      <c r="W453" s="1"/>
      <c r="X453" s="1"/>
      <c r="Y453" s="1"/>
      <c r="Z453" s="1"/>
    </row>
    <row r="454" spans="1:26" ht="15.75" customHeight="1" x14ac:dyDescent="0.4">
      <c r="A454" s="1"/>
      <c r="B454" s="1"/>
      <c r="C454" s="1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34"/>
      <c r="S454" s="2"/>
      <c r="T454" s="2"/>
      <c r="U454" s="1"/>
      <c r="V454" s="1"/>
      <c r="W454" s="1"/>
      <c r="X454" s="1"/>
      <c r="Y454" s="1"/>
      <c r="Z454" s="1"/>
    </row>
    <row r="455" spans="1:26" ht="15.75" customHeight="1" x14ac:dyDescent="0.4">
      <c r="A455" s="1"/>
      <c r="B455" s="1"/>
      <c r="C455" s="1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34"/>
      <c r="S455" s="2"/>
      <c r="T455" s="2"/>
      <c r="U455" s="1"/>
      <c r="V455" s="1"/>
      <c r="W455" s="1"/>
      <c r="X455" s="1"/>
      <c r="Y455" s="1"/>
      <c r="Z455" s="1"/>
    </row>
    <row r="456" spans="1:26" ht="15.75" customHeight="1" x14ac:dyDescent="0.4">
      <c r="A456" s="1"/>
      <c r="B456" s="1"/>
      <c r="C456" s="1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34"/>
      <c r="S456" s="2"/>
      <c r="T456" s="2"/>
      <c r="U456" s="1"/>
      <c r="V456" s="1"/>
      <c r="W456" s="1"/>
      <c r="X456" s="1"/>
      <c r="Y456" s="1"/>
      <c r="Z456" s="1"/>
    </row>
    <row r="457" spans="1:26" ht="15.75" customHeight="1" x14ac:dyDescent="0.4">
      <c r="A457" s="1"/>
      <c r="B457" s="1"/>
      <c r="C457" s="1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34"/>
      <c r="S457" s="2"/>
      <c r="T457" s="2"/>
      <c r="U457" s="1"/>
      <c r="V457" s="1"/>
      <c r="W457" s="1"/>
      <c r="X457" s="1"/>
      <c r="Y457" s="1"/>
      <c r="Z457" s="1"/>
    </row>
    <row r="458" spans="1:26" ht="15.75" customHeight="1" x14ac:dyDescent="0.4">
      <c r="A458" s="1"/>
      <c r="B458" s="1"/>
      <c r="C458" s="1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34"/>
      <c r="S458" s="2"/>
      <c r="T458" s="2"/>
      <c r="U458" s="1"/>
      <c r="V458" s="1"/>
      <c r="W458" s="1"/>
      <c r="X458" s="1"/>
      <c r="Y458" s="1"/>
      <c r="Z458" s="1"/>
    </row>
    <row r="459" spans="1:26" ht="15.75" customHeight="1" x14ac:dyDescent="0.4">
      <c r="A459" s="1"/>
      <c r="B459" s="1"/>
      <c r="C459" s="1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34"/>
      <c r="S459" s="2"/>
      <c r="T459" s="2"/>
      <c r="U459" s="1"/>
      <c r="V459" s="1"/>
      <c r="W459" s="1"/>
      <c r="X459" s="1"/>
      <c r="Y459" s="1"/>
      <c r="Z459" s="1"/>
    </row>
    <row r="460" spans="1:26" ht="15.75" customHeight="1" x14ac:dyDescent="0.4">
      <c r="A460" s="1"/>
      <c r="B460" s="1"/>
      <c r="C460" s="1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34"/>
      <c r="S460" s="2"/>
      <c r="T460" s="2"/>
      <c r="U460" s="1"/>
      <c r="V460" s="1"/>
      <c r="W460" s="1"/>
      <c r="X460" s="1"/>
      <c r="Y460" s="1"/>
      <c r="Z460" s="1"/>
    </row>
    <row r="461" spans="1:26" ht="15.75" customHeight="1" x14ac:dyDescent="0.4">
      <c r="A461" s="1"/>
      <c r="B461" s="1"/>
      <c r="C461" s="1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34"/>
      <c r="S461" s="2"/>
      <c r="T461" s="2"/>
      <c r="U461" s="1"/>
      <c r="V461" s="1"/>
      <c r="W461" s="1"/>
      <c r="X461" s="1"/>
      <c r="Y461" s="1"/>
      <c r="Z461" s="1"/>
    </row>
    <row r="462" spans="1:26" ht="15.75" customHeight="1" x14ac:dyDescent="0.4">
      <c r="A462" s="1"/>
      <c r="B462" s="1"/>
      <c r="C462" s="1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34"/>
      <c r="S462" s="2"/>
      <c r="T462" s="2"/>
      <c r="U462" s="1"/>
      <c r="V462" s="1"/>
      <c r="W462" s="1"/>
      <c r="X462" s="1"/>
      <c r="Y462" s="1"/>
      <c r="Z462" s="1"/>
    </row>
    <row r="463" spans="1:26" ht="15.75" customHeight="1" x14ac:dyDescent="0.4">
      <c r="A463" s="1"/>
      <c r="B463" s="1"/>
      <c r="C463" s="1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34"/>
      <c r="S463" s="2"/>
      <c r="T463" s="2"/>
      <c r="U463" s="1"/>
      <c r="V463" s="1"/>
      <c r="W463" s="1"/>
      <c r="X463" s="1"/>
      <c r="Y463" s="1"/>
      <c r="Z463" s="1"/>
    </row>
    <row r="464" spans="1:26" ht="15.75" customHeight="1" x14ac:dyDescent="0.4">
      <c r="A464" s="1"/>
      <c r="B464" s="1"/>
      <c r="C464" s="1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34"/>
      <c r="S464" s="2"/>
      <c r="T464" s="2"/>
      <c r="U464" s="1"/>
      <c r="V464" s="1"/>
      <c r="W464" s="1"/>
      <c r="X464" s="1"/>
      <c r="Y464" s="1"/>
      <c r="Z464" s="1"/>
    </row>
    <row r="465" spans="1:26" ht="15.75" customHeight="1" x14ac:dyDescent="0.4">
      <c r="A465" s="1"/>
      <c r="B465" s="1"/>
      <c r="C465" s="1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34"/>
      <c r="S465" s="2"/>
      <c r="T465" s="2"/>
      <c r="U465" s="1"/>
      <c r="V465" s="1"/>
      <c r="W465" s="1"/>
      <c r="X465" s="1"/>
      <c r="Y465" s="1"/>
      <c r="Z465" s="1"/>
    </row>
    <row r="466" spans="1:26" ht="15.75" customHeight="1" x14ac:dyDescent="0.4">
      <c r="A466" s="1"/>
      <c r="B466" s="1"/>
      <c r="C466" s="1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34"/>
      <c r="S466" s="2"/>
      <c r="T466" s="2"/>
      <c r="U466" s="1"/>
      <c r="V466" s="1"/>
      <c r="W466" s="1"/>
      <c r="X466" s="1"/>
      <c r="Y466" s="1"/>
      <c r="Z466" s="1"/>
    </row>
    <row r="467" spans="1:26" ht="15.75" customHeight="1" x14ac:dyDescent="0.4">
      <c r="A467" s="1"/>
      <c r="B467" s="1"/>
      <c r="C467" s="1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34"/>
      <c r="S467" s="2"/>
      <c r="T467" s="2"/>
      <c r="U467" s="1"/>
      <c r="V467" s="1"/>
      <c r="W467" s="1"/>
      <c r="X467" s="1"/>
      <c r="Y467" s="1"/>
      <c r="Z467" s="1"/>
    </row>
    <row r="468" spans="1:26" ht="15.75" customHeight="1" x14ac:dyDescent="0.4">
      <c r="A468" s="1"/>
      <c r="B468" s="1"/>
      <c r="C468" s="1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34"/>
      <c r="S468" s="2"/>
      <c r="T468" s="2"/>
      <c r="U468" s="1"/>
      <c r="V468" s="1"/>
      <c r="W468" s="1"/>
      <c r="X468" s="1"/>
      <c r="Y468" s="1"/>
      <c r="Z468" s="1"/>
    </row>
    <row r="469" spans="1:26" ht="15.75" customHeight="1" x14ac:dyDescent="0.4">
      <c r="A469" s="1"/>
      <c r="B469" s="1"/>
      <c r="C469" s="1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34"/>
      <c r="S469" s="2"/>
      <c r="T469" s="2"/>
      <c r="U469" s="1"/>
      <c r="V469" s="1"/>
      <c r="W469" s="1"/>
      <c r="X469" s="1"/>
      <c r="Y469" s="1"/>
      <c r="Z469" s="1"/>
    </row>
    <row r="470" spans="1:26" ht="15.75" customHeight="1" x14ac:dyDescent="0.4">
      <c r="A470" s="1"/>
      <c r="B470" s="1"/>
      <c r="C470" s="1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34"/>
      <c r="S470" s="2"/>
      <c r="T470" s="2"/>
      <c r="U470" s="1"/>
      <c r="V470" s="1"/>
      <c r="W470" s="1"/>
      <c r="X470" s="1"/>
      <c r="Y470" s="1"/>
      <c r="Z470" s="1"/>
    </row>
    <row r="471" spans="1:26" ht="15.75" customHeight="1" x14ac:dyDescent="0.4">
      <c r="A471" s="1"/>
      <c r="B471" s="1"/>
      <c r="C471" s="1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34"/>
      <c r="S471" s="2"/>
      <c r="T471" s="2"/>
      <c r="U471" s="1"/>
      <c r="V471" s="1"/>
      <c r="W471" s="1"/>
      <c r="X471" s="1"/>
      <c r="Y471" s="1"/>
      <c r="Z471" s="1"/>
    </row>
    <row r="472" spans="1:26" ht="15.75" customHeight="1" x14ac:dyDescent="0.4">
      <c r="A472" s="1"/>
      <c r="B472" s="1"/>
      <c r="C472" s="1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34"/>
      <c r="S472" s="2"/>
      <c r="T472" s="2"/>
      <c r="U472" s="1"/>
      <c r="V472" s="1"/>
      <c r="W472" s="1"/>
      <c r="X472" s="1"/>
      <c r="Y472" s="1"/>
      <c r="Z472" s="1"/>
    </row>
    <row r="473" spans="1:26" ht="15.75" customHeight="1" x14ac:dyDescent="0.4">
      <c r="A473" s="1"/>
      <c r="B473" s="1"/>
      <c r="C473" s="1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34"/>
      <c r="S473" s="2"/>
      <c r="T473" s="2"/>
      <c r="U473" s="1"/>
      <c r="V473" s="1"/>
      <c r="W473" s="1"/>
      <c r="X473" s="1"/>
      <c r="Y473" s="1"/>
      <c r="Z473" s="1"/>
    </row>
    <row r="474" spans="1:26" ht="15.75" customHeight="1" x14ac:dyDescent="0.4">
      <c r="A474" s="1"/>
      <c r="B474" s="1"/>
      <c r="C474" s="1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34"/>
      <c r="S474" s="2"/>
      <c r="T474" s="2"/>
      <c r="U474" s="1"/>
      <c r="V474" s="1"/>
      <c r="W474" s="1"/>
      <c r="X474" s="1"/>
      <c r="Y474" s="1"/>
      <c r="Z474" s="1"/>
    </row>
    <row r="475" spans="1:26" ht="15.75" customHeight="1" x14ac:dyDescent="0.4">
      <c r="A475" s="1"/>
      <c r="B475" s="1"/>
      <c r="C475" s="1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34"/>
      <c r="S475" s="2"/>
      <c r="T475" s="2"/>
      <c r="U475" s="1"/>
      <c r="V475" s="1"/>
      <c r="W475" s="1"/>
      <c r="X475" s="1"/>
      <c r="Y475" s="1"/>
      <c r="Z475" s="1"/>
    </row>
    <row r="476" spans="1:26" ht="15.75" customHeight="1" x14ac:dyDescent="0.4">
      <c r="A476" s="1"/>
      <c r="B476" s="1"/>
      <c r="C476" s="1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34"/>
      <c r="S476" s="2"/>
      <c r="T476" s="2"/>
      <c r="U476" s="1"/>
      <c r="V476" s="1"/>
      <c r="W476" s="1"/>
      <c r="X476" s="1"/>
      <c r="Y476" s="1"/>
      <c r="Z476" s="1"/>
    </row>
    <row r="477" spans="1:26" ht="15.75" customHeight="1" x14ac:dyDescent="0.4">
      <c r="A477" s="1"/>
      <c r="B477" s="1"/>
      <c r="C477" s="1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34"/>
      <c r="S477" s="2"/>
      <c r="T477" s="2"/>
      <c r="U477" s="1"/>
      <c r="V477" s="1"/>
      <c r="W477" s="1"/>
      <c r="X477" s="1"/>
      <c r="Y477" s="1"/>
      <c r="Z477" s="1"/>
    </row>
    <row r="478" spans="1:26" ht="15.75" customHeight="1" x14ac:dyDescent="0.4">
      <c r="A478" s="1"/>
      <c r="B478" s="1"/>
      <c r="C478" s="1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34"/>
      <c r="S478" s="2"/>
      <c r="T478" s="2"/>
      <c r="U478" s="1"/>
      <c r="V478" s="1"/>
      <c r="W478" s="1"/>
      <c r="X478" s="1"/>
      <c r="Y478" s="1"/>
      <c r="Z478" s="1"/>
    </row>
    <row r="479" spans="1:26" ht="15.75" customHeight="1" x14ac:dyDescent="0.4">
      <c r="A479" s="1"/>
      <c r="B479" s="1"/>
      <c r="C479" s="1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34"/>
      <c r="S479" s="2"/>
      <c r="T479" s="2"/>
      <c r="U479" s="1"/>
      <c r="V479" s="1"/>
      <c r="W479" s="1"/>
      <c r="X479" s="1"/>
      <c r="Y479" s="1"/>
      <c r="Z479" s="1"/>
    </row>
    <row r="480" spans="1:26" ht="15.75" customHeight="1" x14ac:dyDescent="0.4">
      <c r="A480" s="1"/>
      <c r="B480" s="1"/>
      <c r="C480" s="1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34"/>
      <c r="S480" s="2"/>
      <c r="T480" s="2"/>
      <c r="U480" s="1"/>
      <c r="V480" s="1"/>
      <c r="W480" s="1"/>
      <c r="X480" s="1"/>
      <c r="Y480" s="1"/>
      <c r="Z480" s="1"/>
    </row>
    <row r="481" spans="1:26" ht="15.75" customHeight="1" x14ac:dyDescent="0.4">
      <c r="A481" s="1"/>
      <c r="B481" s="1"/>
      <c r="C481" s="1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34"/>
      <c r="S481" s="2"/>
      <c r="T481" s="2"/>
      <c r="U481" s="1"/>
      <c r="V481" s="1"/>
      <c r="W481" s="1"/>
      <c r="X481" s="1"/>
      <c r="Y481" s="1"/>
      <c r="Z481" s="1"/>
    </row>
    <row r="482" spans="1:26" ht="15.75" customHeight="1" x14ac:dyDescent="0.4">
      <c r="A482" s="1"/>
      <c r="B482" s="1"/>
      <c r="C482" s="1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34"/>
      <c r="S482" s="2"/>
      <c r="T482" s="2"/>
      <c r="U482" s="1"/>
      <c r="V482" s="1"/>
      <c r="W482" s="1"/>
      <c r="X482" s="1"/>
      <c r="Y482" s="1"/>
      <c r="Z482" s="1"/>
    </row>
    <row r="483" spans="1:26" ht="15.75" customHeight="1" x14ac:dyDescent="0.4">
      <c r="A483" s="1"/>
      <c r="B483" s="1"/>
      <c r="C483" s="1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34"/>
      <c r="S483" s="2"/>
      <c r="T483" s="2"/>
      <c r="U483" s="1"/>
      <c r="V483" s="1"/>
      <c r="W483" s="1"/>
      <c r="X483" s="1"/>
      <c r="Y483" s="1"/>
      <c r="Z483" s="1"/>
    </row>
    <row r="484" spans="1:26" ht="15.75" customHeight="1" x14ac:dyDescent="0.4">
      <c r="A484" s="1"/>
      <c r="B484" s="1"/>
      <c r="C484" s="1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34"/>
      <c r="S484" s="2"/>
      <c r="T484" s="2"/>
      <c r="U484" s="1"/>
      <c r="V484" s="1"/>
      <c r="W484" s="1"/>
      <c r="X484" s="1"/>
      <c r="Y484" s="1"/>
      <c r="Z484" s="1"/>
    </row>
    <row r="485" spans="1:26" ht="15.75" customHeight="1" x14ac:dyDescent="0.4">
      <c r="A485" s="1"/>
      <c r="B485" s="1"/>
      <c r="C485" s="1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34"/>
      <c r="S485" s="2"/>
      <c r="T485" s="2"/>
      <c r="U485" s="1"/>
      <c r="V485" s="1"/>
      <c r="W485" s="1"/>
      <c r="X485" s="1"/>
      <c r="Y485" s="1"/>
      <c r="Z485" s="1"/>
    </row>
    <row r="486" spans="1:26" ht="15.75" customHeight="1" x14ac:dyDescent="0.4">
      <c r="A486" s="1"/>
      <c r="B486" s="1"/>
      <c r="C486" s="1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34"/>
      <c r="S486" s="2"/>
      <c r="T486" s="2"/>
      <c r="U486" s="1"/>
      <c r="V486" s="1"/>
      <c r="W486" s="1"/>
      <c r="X486" s="1"/>
      <c r="Y486" s="1"/>
      <c r="Z486" s="1"/>
    </row>
    <row r="487" spans="1:26" ht="15.75" customHeight="1" x14ac:dyDescent="0.4">
      <c r="A487" s="1"/>
      <c r="B487" s="1"/>
      <c r="C487" s="1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34"/>
      <c r="S487" s="2"/>
      <c r="T487" s="2"/>
      <c r="U487" s="1"/>
      <c r="V487" s="1"/>
      <c r="W487" s="1"/>
      <c r="X487" s="1"/>
      <c r="Y487" s="1"/>
      <c r="Z487" s="1"/>
    </row>
    <row r="488" spans="1:26" ht="15.75" customHeight="1" x14ac:dyDescent="0.4">
      <c r="A488" s="1"/>
      <c r="B488" s="1"/>
      <c r="C488" s="1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34"/>
      <c r="S488" s="2"/>
      <c r="T488" s="2"/>
      <c r="U488" s="1"/>
      <c r="V488" s="1"/>
      <c r="W488" s="1"/>
      <c r="X488" s="1"/>
      <c r="Y488" s="1"/>
      <c r="Z488" s="1"/>
    </row>
    <row r="489" spans="1:26" ht="15.75" customHeight="1" x14ac:dyDescent="0.4">
      <c r="A489" s="1"/>
      <c r="B489" s="1"/>
      <c r="C489" s="1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34"/>
      <c r="S489" s="2"/>
      <c r="T489" s="2"/>
      <c r="U489" s="1"/>
      <c r="V489" s="1"/>
      <c r="W489" s="1"/>
      <c r="X489" s="1"/>
      <c r="Y489" s="1"/>
      <c r="Z489" s="1"/>
    </row>
    <row r="490" spans="1:26" ht="15.75" customHeight="1" x14ac:dyDescent="0.4">
      <c r="A490" s="1"/>
      <c r="B490" s="1"/>
      <c r="C490" s="1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34"/>
      <c r="S490" s="2"/>
      <c r="T490" s="2"/>
      <c r="U490" s="1"/>
      <c r="V490" s="1"/>
      <c r="W490" s="1"/>
      <c r="X490" s="1"/>
      <c r="Y490" s="1"/>
      <c r="Z490" s="1"/>
    </row>
    <row r="491" spans="1:26" ht="15.75" customHeight="1" x14ac:dyDescent="0.4">
      <c r="A491" s="1"/>
      <c r="B491" s="1"/>
      <c r="C491" s="1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34"/>
      <c r="S491" s="2"/>
      <c r="T491" s="2"/>
      <c r="U491" s="1"/>
      <c r="V491" s="1"/>
      <c r="W491" s="1"/>
      <c r="X491" s="1"/>
      <c r="Y491" s="1"/>
      <c r="Z491" s="1"/>
    </row>
    <row r="492" spans="1:26" ht="15.75" customHeight="1" x14ac:dyDescent="0.4">
      <c r="A492" s="1"/>
      <c r="B492" s="1"/>
      <c r="C492" s="1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34"/>
      <c r="S492" s="2"/>
      <c r="T492" s="2"/>
      <c r="U492" s="1"/>
      <c r="V492" s="1"/>
      <c r="W492" s="1"/>
      <c r="X492" s="1"/>
      <c r="Y492" s="1"/>
      <c r="Z492" s="1"/>
    </row>
    <row r="493" spans="1:26" ht="15.75" customHeight="1" x14ac:dyDescent="0.4">
      <c r="A493" s="1"/>
      <c r="B493" s="1"/>
      <c r="C493" s="1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34"/>
      <c r="S493" s="2"/>
      <c r="T493" s="2"/>
      <c r="U493" s="1"/>
      <c r="V493" s="1"/>
      <c r="W493" s="1"/>
      <c r="X493" s="1"/>
      <c r="Y493" s="1"/>
      <c r="Z493" s="1"/>
    </row>
    <row r="494" spans="1:26" ht="15.75" customHeight="1" x14ac:dyDescent="0.4">
      <c r="A494" s="1"/>
      <c r="B494" s="1"/>
      <c r="C494" s="1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34"/>
      <c r="S494" s="2"/>
      <c r="T494" s="2"/>
      <c r="U494" s="1"/>
      <c r="V494" s="1"/>
      <c r="W494" s="1"/>
      <c r="X494" s="1"/>
      <c r="Y494" s="1"/>
      <c r="Z494" s="1"/>
    </row>
    <row r="495" spans="1:26" ht="15.75" customHeight="1" x14ac:dyDescent="0.4">
      <c r="A495" s="1"/>
      <c r="B495" s="1"/>
      <c r="C495" s="1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34"/>
      <c r="S495" s="2"/>
      <c r="T495" s="2"/>
      <c r="U495" s="1"/>
      <c r="V495" s="1"/>
      <c r="W495" s="1"/>
      <c r="X495" s="1"/>
      <c r="Y495" s="1"/>
      <c r="Z495" s="1"/>
    </row>
    <row r="496" spans="1:26" ht="15.75" customHeight="1" x14ac:dyDescent="0.4">
      <c r="A496" s="1"/>
      <c r="B496" s="1"/>
      <c r="C496" s="1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34"/>
      <c r="S496" s="2"/>
      <c r="T496" s="2"/>
      <c r="U496" s="1"/>
      <c r="V496" s="1"/>
      <c r="W496" s="1"/>
      <c r="X496" s="1"/>
      <c r="Y496" s="1"/>
      <c r="Z496" s="1"/>
    </row>
    <row r="497" spans="1:26" ht="15.75" customHeight="1" x14ac:dyDescent="0.4">
      <c r="A497" s="1"/>
      <c r="B497" s="1"/>
      <c r="C497" s="1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34"/>
      <c r="S497" s="2"/>
      <c r="T497" s="2"/>
      <c r="U497" s="1"/>
      <c r="V497" s="1"/>
      <c r="W497" s="1"/>
      <c r="X497" s="1"/>
      <c r="Y497" s="1"/>
      <c r="Z497" s="1"/>
    </row>
    <row r="498" spans="1:26" ht="15.75" customHeight="1" x14ac:dyDescent="0.4">
      <c r="A498" s="1"/>
      <c r="B498" s="1"/>
      <c r="C498" s="1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34"/>
      <c r="S498" s="2"/>
      <c r="T498" s="2"/>
      <c r="U498" s="1"/>
      <c r="V498" s="1"/>
      <c r="W498" s="1"/>
      <c r="X498" s="1"/>
      <c r="Y498" s="1"/>
      <c r="Z498" s="1"/>
    </row>
    <row r="499" spans="1:26" ht="15.75" customHeight="1" x14ac:dyDescent="0.4">
      <c r="A499" s="1"/>
      <c r="B499" s="1"/>
      <c r="C499" s="1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34"/>
      <c r="S499" s="2"/>
      <c r="T499" s="2"/>
      <c r="U499" s="1"/>
      <c r="V499" s="1"/>
      <c r="W499" s="1"/>
      <c r="X499" s="1"/>
      <c r="Y499" s="1"/>
      <c r="Z499" s="1"/>
    </row>
    <row r="500" spans="1:26" ht="15.75" customHeight="1" x14ac:dyDescent="0.4">
      <c r="A500" s="1"/>
      <c r="B500" s="1"/>
      <c r="C500" s="1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34"/>
      <c r="S500" s="2"/>
      <c r="T500" s="2"/>
      <c r="U500" s="1"/>
      <c r="V500" s="1"/>
      <c r="W500" s="1"/>
      <c r="X500" s="1"/>
      <c r="Y500" s="1"/>
      <c r="Z500" s="1"/>
    </row>
    <row r="501" spans="1:26" ht="15.75" customHeight="1" x14ac:dyDescent="0.4">
      <c r="A501" s="1"/>
      <c r="B501" s="1"/>
      <c r="C501" s="1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34"/>
      <c r="S501" s="2"/>
      <c r="T501" s="2"/>
      <c r="U501" s="1"/>
      <c r="V501" s="1"/>
      <c r="W501" s="1"/>
      <c r="X501" s="1"/>
      <c r="Y501" s="1"/>
      <c r="Z501" s="1"/>
    </row>
    <row r="502" spans="1:26" ht="15.75" customHeight="1" x14ac:dyDescent="0.4">
      <c r="A502" s="1"/>
      <c r="B502" s="1"/>
      <c r="C502" s="1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34"/>
      <c r="S502" s="2"/>
      <c r="T502" s="2"/>
      <c r="U502" s="1"/>
      <c r="V502" s="1"/>
      <c r="W502" s="1"/>
      <c r="X502" s="1"/>
      <c r="Y502" s="1"/>
      <c r="Z502" s="1"/>
    </row>
    <row r="503" spans="1:26" ht="15.75" customHeight="1" x14ac:dyDescent="0.4">
      <c r="A503" s="1"/>
      <c r="B503" s="1"/>
      <c r="C503" s="1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34"/>
      <c r="S503" s="2"/>
      <c r="T503" s="2"/>
      <c r="U503" s="1"/>
      <c r="V503" s="1"/>
      <c r="W503" s="1"/>
      <c r="X503" s="1"/>
      <c r="Y503" s="1"/>
      <c r="Z503" s="1"/>
    </row>
    <row r="504" spans="1:26" ht="15.75" customHeight="1" x14ac:dyDescent="0.4">
      <c r="A504" s="1"/>
      <c r="B504" s="1"/>
      <c r="C504" s="1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34"/>
      <c r="S504" s="2"/>
      <c r="T504" s="2"/>
      <c r="U504" s="1"/>
      <c r="V504" s="1"/>
      <c r="W504" s="1"/>
      <c r="X504" s="1"/>
      <c r="Y504" s="1"/>
      <c r="Z504" s="1"/>
    </row>
    <row r="505" spans="1:26" ht="15.75" customHeight="1" x14ac:dyDescent="0.4">
      <c r="A505" s="1"/>
      <c r="B505" s="1"/>
      <c r="C505" s="1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34"/>
      <c r="S505" s="2"/>
      <c r="T505" s="2"/>
      <c r="U505" s="1"/>
      <c r="V505" s="1"/>
      <c r="W505" s="1"/>
      <c r="X505" s="1"/>
      <c r="Y505" s="1"/>
      <c r="Z505" s="1"/>
    </row>
    <row r="506" spans="1:26" ht="15.75" customHeight="1" x14ac:dyDescent="0.4">
      <c r="A506" s="1"/>
      <c r="B506" s="1"/>
      <c r="C506" s="1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34"/>
      <c r="S506" s="2"/>
      <c r="T506" s="2"/>
      <c r="U506" s="1"/>
      <c r="V506" s="1"/>
      <c r="W506" s="1"/>
      <c r="X506" s="1"/>
      <c r="Y506" s="1"/>
      <c r="Z506" s="1"/>
    </row>
    <row r="507" spans="1:26" ht="15.75" customHeight="1" x14ac:dyDescent="0.4">
      <c r="A507" s="1"/>
      <c r="B507" s="1"/>
      <c r="C507" s="1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34"/>
      <c r="S507" s="2"/>
      <c r="T507" s="2"/>
      <c r="U507" s="1"/>
      <c r="V507" s="1"/>
      <c r="W507" s="1"/>
      <c r="X507" s="1"/>
      <c r="Y507" s="1"/>
      <c r="Z507" s="1"/>
    </row>
    <row r="508" spans="1:26" ht="15.75" customHeight="1" x14ac:dyDescent="0.4">
      <c r="A508" s="1"/>
      <c r="B508" s="1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34"/>
      <c r="S508" s="2"/>
      <c r="T508" s="2"/>
      <c r="U508" s="1"/>
      <c r="V508" s="1"/>
      <c r="W508" s="1"/>
      <c r="X508" s="1"/>
      <c r="Y508" s="1"/>
      <c r="Z508" s="1"/>
    </row>
    <row r="509" spans="1:26" ht="15.75" customHeight="1" x14ac:dyDescent="0.4">
      <c r="A509" s="1"/>
      <c r="B509" s="1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34"/>
      <c r="S509" s="2"/>
      <c r="T509" s="2"/>
      <c r="U509" s="1"/>
      <c r="V509" s="1"/>
      <c r="W509" s="1"/>
      <c r="X509" s="1"/>
      <c r="Y509" s="1"/>
      <c r="Z509" s="1"/>
    </row>
    <row r="510" spans="1:26" ht="15.75" customHeight="1" x14ac:dyDescent="0.4">
      <c r="A510" s="1"/>
      <c r="B510" s="1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34"/>
      <c r="S510" s="2"/>
      <c r="T510" s="2"/>
      <c r="U510" s="1"/>
      <c r="V510" s="1"/>
      <c r="W510" s="1"/>
      <c r="X510" s="1"/>
      <c r="Y510" s="1"/>
      <c r="Z510" s="1"/>
    </row>
    <row r="511" spans="1:26" ht="15.75" customHeight="1" x14ac:dyDescent="0.4">
      <c r="A511" s="1"/>
      <c r="B511" s="1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34"/>
      <c r="S511" s="2"/>
      <c r="T511" s="2"/>
      <c r="U511" s="1"/>
      <c r="V511" s="1"/>
      <c r="W511" s="1"/>
      <c r="X511" s="1"/>
      <c r="Y511" s="1"/>
      <c r="Z511" s="1"/>
    </row>
    <row r="512" spans="1:26" ht="15.75" customHeight="1" x14ac:dyDescent="0.4">
      <c r="A512" s="1"/>
      <c r="B512" s="1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34"/>
      <c r="S512" s="2"/>
      <c r="T512" s="2"/>
      <c r="U512" s="1"/>
      <c r="V512" s="1"/>
      <c r="W512" s="1"/>
      <c r="X512" s="1"/>
      <c r="Y512" s="1"/>
      <c r="Z512" s="1"/>
    </row>
    <row r="513" spans="1:26" ht="15.75" customHeight="1" x14ac:dyDescent="0.4">
      <c r="A513" s="1"/>
      <c r="B513" s="1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34"/>
      <c r="S513" s="2"/>
      <c r="T513" s="2"/>
      <c r="U513" s="1"/>
      <c r="V513" s="1"/>
      <c r="W513" s="1"/>
      <c r="X513" s="1"/>
      <c r="Y513" s="1"/>
      <c r="Z513" s="1"/>
    </row>
    <row r="514" spans="1:26" ht="15.75" customHeight="1" x14ac:dyDescent="0.4">
      <c r="A514" s="1"/>
      <c r="B514" s="1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34"/>
      <c r="S514" s="2"/>
      <c r="T514" s="2"/>
      <c r="U514" s="1"/>
      <c r="V514" s="1"/>
      <c r="W514" s="1"/>
      <c r="X514" s="1"/>
      <c r="Y514" s="1"/>
      <c r="Z514" s="1"/>
    </row>
    <row r="515" spans="1:26" ht="15.75" customHeight="1" x14ac:dyDescent="0.4">
      <c r="A515" s="1"/>
      <c r="B515" s="1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34"/>
      <c r="S515" s="2"/>
      <c r="T515" s="2"/>
      <c r="U515" s="1"/>
      <c r="V515" s="1"/>
      <c r="W515" s="1"/>
      <c r="X515" s="1"/>
      <c r="Y515" s="1"/>
      <c r="Z515" s="1"/>
    </row>
    <row r="516" spans="1:26" ht="15.75" customHeight="1" x14ac:dyDescent="0.4">
      <c r="A516" s="1"/>
      <c r="B516" s="1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34"/>
      <c r="S516" s="2"/>
      <c r="T516" s="2"/>
      <c r="U516" s="1"/>
      <c r="V516" s="1"/>
      <c r="W516" s="1"/>
      <c r="X516" s="1"/>
      <c r="Y516" s="1"/>
      <c r="Z516" s="1"/>
    </row>
    <row r="517" spans="1:26" ht="15.75" customHeight="1" x14ac:dyDescent="0.4">
      <c r="A517" s="1"/>
      <c r="B517" s="1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34"/>
      <c r="S517" s="2"/>
      <c r="T517" s="2"/>
      <c r="U517" s="1"/>
      <c r="V517" s="1"/>
      <c r="W517" s="1"/>
      <c r="X517" s="1"/>
      <c r="Y517" s="1"/>
      <c r="Z517" s="1"/>
    </row>
    <row r="518" spans="1:26" ht="15.75" customHeight="1" x14ac:dyDescent="0.4">
      <c r="A518" s="1"/>
      <c r="B518" s="1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34"/>
      <c r="S518" s="2"/>
      <c r="T518" s="2"/>
      <c r="U518" s="1"/>
      <c r="V518" s="1"/>
      <c r="W518" s="1"/>
      <c r="X518" s="1"/>
      <c r="Y518" s="1"/>
      <c r="Z518" s="1"/>
    </row>
    <row r="519" spans="1:26" ht="15.75" customHeight="1" x14ac:dyDescent="0.4">
      <c r="A519" s="1"/>
      <c r="B519" s="1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34"/>
      <c r="S519" s="2"/>
      <c r="T519" s="2"/>
      <c r="U519" s="1"/>
      <c r="V519" s="1"/>
      <c r="W519" s="1"/>
      <c r="X519" s="1"/>
      <c r="Y519" s="1"/>
      <c r="Z519" s="1"/>
    </row>
    <row r="520" spans="1:26" ht="15.75" customHeight="1" x14ac:dyDescent="0.4">
      <c r="A520" s="1"/>
      <c r="B520" s="1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34"/>
      <c r="S520" s="2"/>
      <c r="T520" s="2"/>
      <c r="U520" s="1"/>
      <c r="V520" s="1"/>
      <c r="W520" s="1"/>
      <c r="X520" s="1"/>
      <c r="Y520" s="1"/>
      <c r="Z520" s="1"/>
    </row>
    <row r="521" spans="1:26" ht="15.75" customHeight="1" x14ac:dyDescent="0.4">
      <c r="A521" s="1"/>
      <c r="B521" s="1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34"/>
      <c r="S521" s="2"/>
      <c r="T521" s="2"/>
      <c r="U521" s="1"/>
      <c r="V521" s="1"/>
      <c r="W521" s="1"/>
      <c r="X521" s="1"/>
      <c r="Y521" s="1"/>
      <c r="Z521" s="1"/>
    </row>
    <row r="522" spans="1:26" ht="15.75" customHeight="1" x14ac:dyDescent="0.4">
      <c r="A522" s="1"/>
      <c r="B522" s="1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34"/>
      <c r="S522" s="2"/>
      <c r="T522" s="2"/>
      <c r="U522" s="1"/>
      <c r="V522" s="1"/>
      <c r="W522" s="1"/>
      <c r="X522" s="1"/>
      <c r="Y522" s="1"/>
      <c r="Z522" s="1"/>
    </row>
    <row r="523" spans="1:26" ht="15.75" customHeight="1" x14ac:dyDescent="0.4">
      <c r="A523" s="1"/>
      <c r="B523" s="1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34"/>
      <c r="S523" s="2"/>
      <c r="T523" s="2"/>
      <c r="U523" s="1"/>
      <c r="V523" s="1"/>
      <c r="W523" s="1"/>
      <c r="X523" s="1"/>
      <c r="Y523" s="1"/>
      <c r="Z523" s="1"/>
    </row>
    <row r="524" spans="1:26" ht="15.75" customHeight="1" x14ac:dyDescent="0.4">
      <c r="A524" s="1"/>
      <c r="B524" s="1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34"/>
      <c r="S524" s="2"/>
      <c r="T524" s="2"/>
      <c r="U524" s="1"/>
      <c r="V524" s="1"/>
      <c r="W524" s="1"/>
      <c r="X524" s="1"/>
      <c r="Y524" s="1"/>
      <c r="Z524" s="1"/>
    </row>
    <row r="525" spans="1:26" ht="15.75" customHeight="1" x14ac:dyDescent="0.4">
      <c r="A525" s="1"/>
      <c r="B525" s="1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34"/>
      <c r="S525" s="2"/>
      <c r="T525" s="2"/>
      <c r="U525" s="1"/>
      <c r="V525" s="1"/>
      <c r="W525" s="1"/>
      <c r="X525" s="1"/>
      <c r="Y525" s="1"/>
      <c r="Z525" s="1"/>
    </row>
    <row r="526" spans="1:26" ht="15.75" customHeight="1" x14ac:dyDescent="0.4">
      <c r="A526" s="1"/>
      <c r="B526" s="1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34"/>
      <c r="S526" s="2"/>
      <c r="T526" s="2"/>
      <c r="U526" s="1"/>
      <c r="V526" s="1"/>
      <c r="W526" s="1"/>
      <c r="X526" s="1"/>
      <c r="Y526" s="1"/>
      <c r="Z526" s="1"/>
    </row>
    <row r="527" spans="1:26" ht="15.75" customHeight="1" x14ac:dyDescent="0.4">
      <c r="A527" s="1"/>
      <c r="B527" s="1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34"/>
      <c r="S527" s="2"/>
      <c r="T527" s="2"/>
      <c r="U527" s="1"/>
      <c r="V527" s="1"/>
      <c r="W527" s="1"/>
      <c r="X527" s="1"/>
      <c r="Y527" s="1"/>
      <c r="Z527" s="1"/>
    </row>
    <row r="528" spans="1:26" ht="15.75" customHeight="1" x14ac:dyDescent="0.4">
      <c r="A528" s="1"/>
      <c r="B528" s="1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34"/>
      <c r="S528" s="2"/>
      <c r="T528" s="2"/>
      <c r="U528" s="1"/>
      <c r="V528" s="1"/>
      <c r="W528" s="1"/>
      <c r="X528" s="1"/>
      <c r="Y528" s="1"/>
      <c r="Z528" s="1"/>
    </row>
    <row r="529" spans="1:26" ht="15.75" customHeight="1" x14ac:dyDescent="0.4">
      <c r="A529" s="1"/>
      <c r="B529" s="1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34"/>
      <c r="S529" s="2"/>
      <c r="T529" s="2"/>
      <c r="U529" s="1"/>
      <c r="V529" s="1"/>
      <c r="W529" s="1"/>
      <c r="X529" s="1"/>
      <c r="Y529" s="1"/>
      <c r="Z529" s="1"/>
    </row>
    <row r="530" spans="1:26" ht="15.75" customHeight="1" x14ac:dyDescent="0.4">
      <c r="A530" s="1"/>
      <c r="B530" s="1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34"/>
      <c r="S530" s="2"/>
      <c r="T530" s="2"/>
      <c r="U530" s="1"/>
      <c r="V530" s="1"/>
      <c r="W530" s="1"/>
      <c r="X530" s="1"/>
      <c r="Y530" s="1"/>
      <c r="Z530" s="1"/>
    </row>
    <row r="531" spans="1:26" ht="15.75" customHeight="1" x14ac:dyDescent="0.4">
      <c r="A531" s="1"/>
      <c r="B531" s="1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34"/>
      <c r="S531" s="2"/>
      <c r="T531" s="2"/>
      <c r="U531" s="1"/>
      <c r="V531" s="1"/>
      <c r="W531" s="1"/>
      <c r="X531" s="1"/>
      <c r="Y531" s="1"/>
      <c r="Z531" s="1"/>
    </row>
    <row r="532" spans="1:26" ht="15.75" customHeight="1" x14ac:dyDescent="0.4">
      <c r="A532" s="1"/>
      <c r="B532" s="1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34"/>
      <c r="S532" s="2"/>
      <c r="T532" s="2"/>
      <c r="U532" s="1"/>
      <c r="V532" s="1"/>
      <c r="W532" s="1"/>
      <c r="X532" s="1"/>
      <c r="Y532" s="1"/>
      <c r="Z532" s="1"/>
    </row>
    <row r="533" spans="1:26" ht="15.75" customHeight="1" x14ac:dyDescent="0.4">
      <c r="A533" s="1"/>
      <c r="B533" s="1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34"/>
      <c r="S533" s="2"/>
      <c r="T533" s="2"/>
      <c r="U533" s="1"/>
      <c r="V533" s="1"/>
      <c r="W533" s="1"/>
      <c r="X533" s="1"/>
      <c r="Y533" s="1"/>
      <c r="Z533" s="1"/>
    </row>
    <row r="534" spans="1:26" ht="15.75" customHeight="1" x14ac:dyDescent="0.4">
      <c r="A534" s="1"/>
      <c r="B534" s="1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34"/>
      <c r="S534" s="2"/>
      <c r="T534" s="2"/>
      <c r="U534" s="1"/>
      <c r="V534" s="1"/>
      <c r="W534" s="1"/>
      <c r="X534" s="1"/>
      <c r="Y534" s="1"/>
      <c r="Z534" s="1"/>
    </row>
    <row r="535" spans="1:26" ht="15.75" customHeight="1" x14ac:dyDescent="0.4">
      <c r="A535" s="1"/>
      <c r="B535" s="1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34"/>
      <c r="S535" s="2"/>
      <c r="T535" s="2"/>
      <c r="U535" s="1"/>
      <c r="V535" s="1"/>
      <c r="W535" s="1"/>
      <c r="X535" s="1"/>
      <c r="Y535" s="1"/>
      <c r="Z535" s="1"/>
    </row>
    <row r="536" spans="1:26" ht="15.75" customHeight="1" x14ac:dyDescent="0.4">
      <c r="A536" s="1"/>
      <c r="B536" s="1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34"/>
      <c r="S536" s="2"/>
      <c r="T536" s="2"/>
      <c r="U536" s="1"/>
      <c r="V536" s="1"/>
      <c r="W536" s="1"/>
      <c r="X536" s="1"/>
      <c r="Y536" s="1"/>
      <c r="Z536" s="1"/>
    </row>
    <row r="537" spans="1:26" ht="15.75" customHeight="1" x14ac:dyDescent="0.4">
      <c r="A537" s="1"/>
      <c r="B537" s="1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34"/>
      <c r="S537" s="2"/>
      <c r="T537" s="2"/>
      <c r="U537" s="1"/>
      <c r="V537" s="1"/>
      <c r="W537" s="1"/>
      <c r="X537" s="1"/>
      <c r="Y537" s="1"/>
      <c r="Z537" s="1"/>
    </row>
    <row r="538" spans="1:26" ht="15.75" customHeight="1" x14ac:dyDescent="0.4">
      <c r="A538" s="1"/>
      <c r="B538" s="1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34"/>
      <c r="S538" s="2"/>
      <c r="T538" s="2"/>
      <c r="U538" s="1"/>
      <c r="V538" s="1"/>
      <c r="W538" s="1"/>
      <c r="X538" s="1"/>
      <c r="Y538" s="1"/>
      <c r="Z538" s="1"/>
    </row>
    <row r="539" spans="1:26" ht="15.75" customHeight="1" x14ac:dyDescent="0.4">
      <c r="A539" s="1"/>
      <c r="B539" s="1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34"/>
      <c r="S539" s="2"/>
      <c r="T539" s="2"/>
      <c r="U539" s="1"/>
      <c r="V539" s="1"/>
      <c r="W539" s="1"/>
      <c r="X539" s="1"/>
      <c r="Y539" s="1"/>
      <c r="Z539" s="1"/>
    </row>
    <row r="540" spans="1:26" ht="15.75" customHeight="1" x14ac:dyDescent="0.4">
      <c r="A540" s="1"/>
      <c r="B540" s="1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34"/>
      <c r="S540" s="2"/>
      <c r="T540" s="2"/>
      <c r="U540" s="1"/>
      <c r="V540" s="1"/>
      <c r="W540" s="1"/>
      <c r="X540" s="1"/>
      <c r="Y540" s="1"/>
      <c r="Z540" s="1"/>
    </row>
    <row r="541" spans="1:26" ht="15.75" customHeight="1" x14ac:dyDescent="0.4">
      <c r="A541" s="1"/>
      <c r="B541" s="1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34"/>
      <c r="S541" s="2"/>
      <c r="T541" s="2"/>
      <c r="U541" s="1"/>
      <c r="V541" s="1"/>
      <c r="W541" s="1"/>
      <c r="X541" s="1"/>
      <c r="Y541" s="1"/>
      <c r="Z541" s="1"/>
    </row>
    <row r="542" spans="1:26" ht="15.75" customHeight="1" x14ac:dyDescent="0.4">
      <c r="A542" s="1"/>
      <c r="B542" s="1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34"/>
      <c r="S542" s="2"/>
      <c r="T542" s="2"/>
      <c r="U542" s="1"/>
      <c r="V542" s="1"/>
      <c r="W542" s="1"/>
      <c r="X542" s="1"/>
      <c r="Y542" s="1"/>
      <c r="Z542" s="1"/>
    </row>
    <row r="543" spans="1:26" ht="15.75" customHeight="1" x14ac:dyDescent="0.4">
      <c r="A543" s="1"/>
      <c r="B543" s="1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34"/>
      <c r="S543" s="2"/>
      <c r="T543" s="2"/>
      <c r="U543" s="1"/>
      <c r="V543" s="1"/>
      <c r="W543" s="1"/>
      <c r="X543" s="1"/>
      <c r="Y543" s="1"/>
      <c r="Z543" s="1"/>
    </row>
    <row r="544" spans="1:26" ht="15.75" customHeight="1" x14ac:dyDescent="0.4">
      <c r="A544" s="1"/>
      <c r="B544" s="1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34"/>
      <c r="S544" s="2"/>
      <c r="T544" s="2"/>
      <c r="U544" s="1"/>
      <c r="V544" s="1"/>
      <c r="W544" s="1"/>
      <c r="X544" s="1"/>
      <c r="Y544" s="1"/>
      <c r="Z544" s="1"/>
    </row>
    <row r="545" spans="1:26" ht="15.75" customHeight="1" x14ac:dyDescent="0.4">
      <c r="A545" s="1"/>
      <c r="B545" s="1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34"/>
      <c r="S545" s="2"/>
      <c r="T545" s="2"/>
      <c r="U545" s="1"/>
      <c r="V545" s="1"/>
      <c r="W545" s="1"/>
      <c r="X545" s="1"/>
      <c r="Y545" s="1"/>
      <c r="Z545" s="1"/>
    </row>
    <row r="546" spans="1:26" ht="15.75" customHeight="1" x14ac:dyDescent="0.4">
      <c r="A546" s="1"/>
      <c r="B546" s="1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34"/>
      <c r="S546" s="2"/>
      <c r="T546" s="2"/>
      <c r="U546" s="1"/>
      <c r="V546" s="1"/>
      <c r="W546" s="1"/>
      <c r="X546" s="1"/>
      <c r="Y546" s="1"/>
      <c r="Z546" s="1"/>
    </row>
    <row r="547" spans="1:26" ht="15.75" customHeight="1" x14ac:dyDescent="0.4">
      <c r="A547" s="1"/>
      <c r="B547" s="1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34"/>
      <c r="S547" s="2"/>
      <c r="T547" s="2"/>
      <c r="U547" s="1"/>
      <c r="V547" s="1"/>
      <c r="W547" s="1"/>
      <c r="X547" s="1"/>
      <c r="Y547" s="1"/>
      <c r="Z547" s="1"/>
    </row>
    <row r="548" spans="1:26" ht="15.75" customHeight="1" x14ac:dyDescent="0.4">
      <c r="A548" s="1"/>
      <c r="B548" s="1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34"/>
      <c r="S548" s="2"/>
      <c r="T548" s="2"/>
      <c r="U548" s="1"/>
      <c r="V548" s="1"/>
      <c r="W548" s="1"/>
      <c r="X548" s="1"/>
      <c r="Y548" s="1"/>
      <c r="Z548" s="1"/>
    </row>
    <row r="549" spans="1:26" ht="15.75" customHeight="1" x14ac:dyDescent="0.4">
      <c r="A549" s="1"/>
      <c r="B549" s="1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34"/>
      <c r="S549" s="2"/>
      <c r="T549" s="2"/>
      <c r="U549" s="1"/>
      <c r="V549" s="1"/>
      <c r="W549" s="1"/>
      <c r="X549" s="1"/>
      <c r="Y549" s="1"/>
      <c r="Z549" s="1"/>
    </row>
    <row r="550" spans="1:26" ht="15.75" customHeight="1" x14ac:dyDescent="0.4">
      <c r="A550" s="1"/>
      <c r="B550" s="1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34"/>
      <c r="S550" s="2"/>
      <c r="T550" s="2"/>
      <c r="U550" s="1"/>
      <c r="V550" s="1"/>
      <c r="W550" s="1"/>
      <c r="X550" s="1"/>
      <c r="Y550" s="1"/>
      <c r="Z550" s="1"/>
    </row>
    <row r="551" spans="1:26" ht="15.75" customHeight="1" x14ac:dyDescent="0.4">
      <c r="A551" s="1"/>
      <c r="B551" s="1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34"/>
      <c r="S551" s="2"/>
      <c r="T551" s="2"/>
      <c r="U551" s="1"/>
      <c r="V551" s="1"/>
      <c r="W551" s="1"/>
      <c r="X551" s="1"/>
      <c r="Y551" s="1"/>
      <c r="Z551" s="1"/>
    </row>
    <row r="552" spans="1:26" ht="15.75" customHeight="1" x14ac:dyDescent="0.4">
      <c r="A552" s="1"/>
      <c r="B552" s="1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34"/>
      <c r="S552" s="2"/>
      <c r="T552" s="2"/>
      <c r="U552" s="1"/>
      <c r="V552" s="1"/>
      <c r="W552" s="1"/>
      <c r="X552" s="1"/>
      <c r="Y552" s="1"/>
      <c r="Z552" s="1"/>
    </row>
    <row r="553" spans="1:26" ht="15.75" customHeight="1" x14ac:dyDescent="0.4">
      <c r="A553" s="1"/>
      <c r="B553" s="1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34"/>
      <c r="S553" s="2"/>
      <c r="T553" s="2"/>
      <c r="U553" s="1"/>
      <c r="V553" s="1"/>
      <c r="W553" s="1"/>
      <c r="X553" s="1"/>
      <c r="Y553" s="1"/>
      <c r="Z553" s="1"/>
    </row>
    <row r="554" spans="1:26" ht="15.75" customHeight="1" x14ac:dyDescent="0.4">
      <c r="A554" s="1"/>
      <c r="B554" s="1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34"/>
      <c r="S554" s="2"/>
      <c r="T554" s="2"/>
      <c r="U554" s="1"/>
      <c r="V554" s="1"/>
      <c r="W554" s="1"/>
      <c r="X554" s="1"/>
      <c r="Y554" s="1"/>
      <c r="Z554" s="1"/>
    </row>
    <row r="555" spans="1:26" ht="15.75" customHeight="1" x14ac:dyDescent="0.4">
      <c r="A555" s="1"/>
      <c r="B555" s="1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34"/>
      <c r="S555" s="2"/>
      <c r="T555" s="2"/>
      <c r="U555" s="1"/>
      <c r="V555" s="1"/>
      <c r="W555" s="1"/>
      <c r="X555" s="1"/>
      <c r="Y555" s="1"/>
      <c r="Z555" s="1"/>
    </row>
    <row r="556" spans="1:26" ht="15.75" customHeight="1" x14ac:dyDescent="0.4">
      <c r="A556" s="1"/>
      <c r="B556" s="1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34"/>
      <c r="S556" s="2"/>
      <c r="T556" s="2"/>
      <c r="U556" s="1"/>
      <c r="V556" s="1"/>
      <c r="W556" s="1"/>
      <c r="X556" s="1"/>
      <c r="Y556" s="1"/>
      <c r="Z556" s="1"/>
    </row>
    <row r="557" spans="1:26" ht="15.75" customHeight="1" x14ac:dyDescent="0.4">
      <c r="A557" s="1"/>
      <c r="B557" s="1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34"/>
      <c r="S557" s="2"/>
      <c r="T557" s="2"/>
      <c r="U557" s="1"/>
      <c r="V557" s="1"/>
      <c r="W557" s="1"/>
      <c r="X557" s="1"/>
      <c r="Y557" s="1"/>
      <c r="Z557" s="1"/>
    </row>
    <row r="558" spans="1:26" ht="15.75" customHeight="1" x14ac:dyDescent="0.4">
      <c r="A558" s="1"/>
      <c r="B558" s="1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34"/>
      <c r="S558" s="2"/>
      <c r="T558" s="2"/>
      <c r="U558" s="1"/>
      <c r="V558" s="1"/>
      <c r="W558" s="1"/>
      <c r="X558" s="1"/>
      <c r="Y558" s="1"/>
      <c r="Z558" s="1"/>
    </row>
    <row r="559" spans="1:26" ht="15.75" customHeight="1" x14ac:dyDescent="0.4">
      <c r="A559" s="1"/>
      <c r="B559" s="1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34"/>
      <c r="S559" s="2"/>
      <c r="T559" s="2"/>
      <c r="U559" s="1"/>
      <c r="V559" s="1"/>
      <c r="W559" s="1"/>
      <c r="X559" s="1"/>
      <c r="Y559" s="1"/>
      <c r="Z559" s="1"/>
    </row>
    <row r="560" spans="1:26" ht="15.75" customHeight="1" x14ac:dyDescent="0.4">
      <c r="A560" s="1"/>
      <c r="B560" s="1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34"/>
      <c r="S560" s="2"/>
      <c r="T560" s="2"/>
      <c r="U560" s="1"/>
      <c r="V560" s="1"/>
      <c r="W560" s="1"/>
      <c r="X560" s="1"/>
      <c r="Y560" s="1"/>
      <c r="Z560" s="1"/>
    </row>
    <row r="561" spans="1:26" ht="15.75" customHeight="1" x14ac:dyDescent="0.4">
      <c r="A561" s="1"/>
      <c r="B561" s="1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34"/>
      <c r="S561" s="2"/>
      <c r="T561" s="2"/>
      <c r="U561" s="1"/>
      <c r="V561" s="1"/>
      <c r="W561" s="1"/>
      <c r="X561" s="1"/>
      <c r="Y561" s="1"/>
      <c r="Z561" s="1"/>
    </row>
    <row r="562" spans="1:26" ht="15.75" customHeight="1" x14ac:dyDescent="0.4">
      <c r="A562" s="1"/>
      <c r="B562" s="1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34"/>
      <c r="S562" s="2"/>
      <c r="T562" s="2"/>
      <c r="U562" s="1"/>
      <c r="V562" s="1"/>
      <c r="W562" s="1"/>
      <c r="X562" s="1"/>
      <c r="Y562" s="1"/>
      <c r="Z562" s="1"/>
    </row>
    <row r="563" spans="1:26" ht="15.75" customHeight="1" x14ac:dyDescent="0.4">
      <c r="A563" s="1"/>
      <c r="B563" s="1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34"/>
      <c r="S563" s="2"/>
      <c r="T563" s="2"/>
      <c r="U563" s="1"/>
      <c r="V563" s="1"/>
      <c r="W563" s="1"/>
      <c r="X563" s="1"/>
      <c r="Y563" s="1"/>
      <c r="Z563" s="1"/>
    </row>
    <row r="564" spans="1:26" ht="15.75" customHeight="1" x14ac:dyDescent="0.4">
      <c r="A564" s="1"/>
      <c r="B564" s="1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34"/>
      <c r="S564" s="2"/>
      <c r="T564" s="2"/>
      <c r="U564" s="1"/>
      <c r="V564" s="1"/>
      <c r="W564" s="1"/>
      <c r="X564" s="1"/>
      <c r="Y564" s="1"/>
      <c r="Z564" s="1"/>
    </row>
    <row r="565" spans="1:26" ht="15.75" customHeight="1" x14ac:dyDescent="0.4">
      <c r="A565" s="1"/>
      <c r="B565" s="1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34"/>
      <c r="S565" s="2"/>
      <c r="T565" s="2"/>
      <c r="U565" s="1"/>
      <c r="V565" s="1"/>
      <c r="W565" s="1"/>
      <c r="X565" s="1"/>
      <c r="Y565" s="1"/>
      <c r="Z565" s="1"/>
    </row>
    <row r="566" spans="1:26" ht="15.75" customHeight="1" x14ac:dyDescent="0.4">
      <c r="A566" s="1"/>
      <c r="B566" s="1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34"/>
      <c r="S566" s="2"/>
      <c r="T566" s="2"/>
      <c r="U566" s="1"/>
      <c r="V566" s="1"/>
      <c r="W566" s="1"/>
      <c r="X566" s="1"/>
      <c r="Y566" s="1"/>
      <c r="Z566" s="1"/>
    </row>
    <row r="567" spans="1:26" ht="15.75" customHeight="1" x14ac:dyDescent="0.4">
      <c r="A567" s="1"/>
      <c r="B567" s="1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34"/>
      <c r="S567" s="2"/>
      <c r="T567" s="2"/>
      <c r="U567" s="1"/>
      <c r="V567" s="1"/>
      <c r="W567" s="1"/>
      <c r="X567" s="1"/>
      <c r="Y567" s="1"/>
      <c r="Z567" s="1"/>
    </row>
    <row r="568" spans="1:26" ht="15.75" customHeight="1" x14ac:dyDescent="0.4">
      <c r="A568" s="1"/>
      <c r="B568" s="1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34"/>
      <c r="S568" s="2"/>
      <c r="T568" s="2"/>
      <c r="U568" s="1"/>
      <c r="V568" s="1"/>
      <c r="W568" s="1"/>
      <c r="X568" s="1"/>
      <c r="Y568" s="1"/>
      <c r="Z568" s="1"/>
    </row>
    <row r="569" spans="1:26" ht="15.75" customHeight="1" x14ac:dyDescent="0.4">
      <c r="A569" s="1"/>
      <c r="B569" s="1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34"/>
      <c r="S569" s="2"/>
      <c r="T569" s="2"/>
      <c r="U569" s="1"/>
      <c r="V569" s="1"/>
      <c r="W569" s="1"/>
      <c r="X569" s="1"/>
      <c r="Y569" s="1"/>
      <c r="Z569" s="1"/>
    </row>
    <row r="570" spans="1:26" ht="15.75" customHeight="1" x14ac:dyDescent="0.4">
      <c r="A570" s="1"/>
      <c r="B570" s="1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34"/>
      <c r="S570" s="2"/>
      <c r="T570" s="2"/>
      <c r="U570" s="1"/>
      <c r="V570" s="1"/>
      <c r="W570" s="1"/>
      <c r="X570" s="1"/>
      <c r="Y570" s="1"/>
      <c r="Z570" s="1"/>
    </row>
    <row r="571" spans="1:26" ht="15.75" customHeight="1" x14ac:dyDescent="0.4">
      <c r="A571" s="1"/>
      <c r="B571" s="1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34"/>
      <c r="S571" s="2"/>
      <c r="T571" s="2"/>
      <c r="U571" s="1"/>
      <c r="V571" s="1"/>
      <c r="W571" s="1"/>
      <c r="X571" s="1"/>
      <c r="Y571" s="1"/>
      <c r="Z571" s="1"/>
    </row>
    <row r="572" spans="1:26" ht="15.75" customHeight="1" x14ac:dyDescent="0.4">
      <c r="A572" s="1"/>
      <c r="B572" s="1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34"/>
      <c r="S572" s="2"/>
      <c r="T572" s="2"/>
      <c r="U572" s="1"/>
      <c r="V572" s="1"/>
      <c r="W572" s="1"/>
      <c r="X572" s="1"/>
      <c r="Y572" s="1"/>
      <c r="Z572" s="1"/>
    </row>
    <row r="573" spans="1:26" ht="15.75" customHeight="1" x14ac:dyDescent="0.4">
      <c r="A573" s="1"/>
      <c r="B573" s="1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34"/>
      <c r="S573" s="2"/>
      <c r="T573" s="2"/>
      <c r="U573" s="1"/>
      <c r="V573" s="1"/>
      <c r="W573" s="1"/>
      <c r="X573" s="1"/>
      <c r="Y573" s="1"/>
      <c r="Z573" s="1"/>
    </row>
    <row r="574" spans="1:26" ht="15.75" customHeight="1" x14ac:dyDescent="0.4">
      <c r="A574" s="1"/>
      <c r="B574" s="1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34"/>
      <c r="S574" s="2"/>
      <c r="T574" s="2"/>
      <c r="U574" s="1"/>
      <c r="V574" s="1"/>
      <c r="W574" s="1"/>
      <c r="X574" s="1"/>
      <c r="Y574" s="1"/>
      <c r="Z574" s="1"/>
    </row>
    <row r="575" spans="1:26" ht="15.75" customHeight="1" x14ac:dyDescent="0.4">
      <c r="A575" s="1"/>
      <c r="B575" s="1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34"/>
      <c r="S575" s="2"/>
      <c r="T575" s="2"/>
      <c r="U575" s="1"/>
      <c r="V575" s="1"/>
      <c r="W575" s="1"/>
      <c r="X575" s="1"/>
      <c r="Y575" s="1"/>
      <c r="Z575" s="1"/>
    </row>
    <row r="576" spans="1:26" ht="15.75" customHeight="1" x14ac:dyDescent="0.4">
      <c r="A576" s="1"/>
      <c r="B576" s="1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34"/>
      <c r="S576" s="2"/>
      <c r="T576" s="2"/>
      <c r="U576" s="1"/>
      <c r="V576" s="1"/>
      <c r="W576" s="1"/>
      <c r="X576" s="1"/>
      <c r="Y576" s="1"/>
      <c r="Z576" s="1"/>
    </row>
    <row r="577" spans="1:26" ht="15.75" customHeight="1" x14ac:dyDescent="0.4">
      <c r="A577" s="1"/>
      <c r="B577" s="1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34"/>
      <c r="S577" s="2"/>
      <c r="T577" s="2"/>
      <c r="U577" s="1"/>
      <c r="V577" s="1"/>
      <c r="W577" s="1"/>
      <c r="X577" s="1"/>
      <c r="Y577" s="1"/>
      <c r="Z577" s="1"/>
    </row>
    <row r="578" spans="1:26" ht="15.75" customHeight="1" x14ac:dyDescent="0.4">
      <c r="A578" s="1"/>
      <c r="B578" s="1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34"/>
      <c r="S578" s="2"/>
      <c r="T578" s="2"/>
      <c r="U578" s="1"/>
      <c r="V578" s="1"/>
      <c r="W578" s="1"/>
      <c r="X578" s="1"/>
      <c r="Y578" s="1"/>
      <c r="Z578" s="1"/>
    </row>
    <row r="579" spans="1:26" ht="15.75" customHeight="1" x14ac:dyDescent="0.4">
      <c r="A579" s="1"/>
      <c r="B579" s="1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34"/>
      <c r="S579" s="2"/>
      <c r="T579" s="2"/>
      <c r="U579" s="1"/>
      <c r="V579" s="1"/>
      <c r="W579" s="1"/>
      <c r="X579" s="1"/>
      <c r="Y579" s="1"/>
      <c r="Z579" s="1"/>
    </row>
    <row r="580" spans="1:26" ht="15.75" customHeight="1" x14ac:dyDescent="0.4">
      <c r="A580" s="1"/>
      <c r="B580" s="1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34"/>
      <c r="S580" s="2"/>
      <c r="T580" s="2"/>
      <c r="U580" s="1"/>
      <c r="V580" s="1"/>
      <c r="W580" s="1"/>
      <c r="X580" s="1"/>
      <c r="Y580" s="1"/>
      <c r="Z580" s="1"/>
    </row>
    <row r="581" spans="1:26" ht="15.75" customHeight="1" x14ac:dyDescent="0.4">
      <c r="A581" s="1"/>
      <c r="B581" s="1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34"/>
      <c r="S581" s="2"/>
      <c r="T581" s="2"/>
      <c r="U581" s="1"/>
      <c r="V581" s="1"/>
      <c r="W581" s="1"/>
      <c r="X581" s="1"/>
      <c r="Y581" s="1"/>
      <c r="Z581" s="1"/>
    </row>
    <row r="582" spans="1:26" ht="15.75" customHeight="1" x14ac:dyDescent="0.4">
      <c r="A582" s="1"/>
      <c r="B582" s="1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34"/>
      <c r="S582" s="2"/>
      <c r="T582" s="2"/>
      <c r="U582" s="1"/>
      <c r="V582" s="1"/>
      <c r="W582" s="1"/>
      <c r="X582" s="1"/>
      <c r="Y582" s="1"/>
      <c r="Z582" s="1"/>
    </row>
    <row r="583" spans="1:26" ht="15.75" customHeight="1" x14ac:dyDescent="0.4">
      <c r="A583" s="1"/>
      <c r="B583" s="1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34"/>
      <c r="S583" s="2"/>
      <c r="T583" s="2"/>
      <c r="U583" s="1"/>
      <c r="V583" s="1"/>
      <c r="W583" s="1"/>
      <c r="X583" s="1"/>
      <c r="Y583" s="1"/>
      <c r="Z583" s="1"/>
    </row>
    <row r="584" spans="1:26" ht="15.75" customHeight="1" x14ac:dyDescent="0.4">
      <c r="A584" s="1"/>
      <c r="B584" s="1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34"/>
      <c r="S584" s="2"/>
      <c r="T584" s="2"/>
      <c r="U584" s="1"/>
      <c r="V584" s="1"/>
      <c r="W584" s="1"/>
      <c r="X584" s="1"/>
      <c r="Y584" s="1"/>
      <c r="Z584" s="1"/>
    </row>
    <row r="585" spans="1:26" ht="15.75" customHeight="1" x14ac:dyDescent="0.4">
      <c r="A585" s="1"/>
      <c r="B585" s="1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34"/>
      <c r="S585" s="2"/>
      <c r="T585" s="2"/>
      <c r="U585" s="1"/>
      <c r="V585" s="1"/>
      <c r="W585" s="1"/>
      <c r="X585" s="1"/>
      <c r="Y585" s="1"/>
      <c r="Z585" s="1"/>
    </row>
    <row r="586" spans="1:26" ht="15.75" customHeight="1" x14ac:dyDescent="0.4">
      <c r="A586" s="1"/>
      <c r="B586" s="1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34"/>
      <c r="S586" s="2"/>
      <c r="T586" s="2"/>
      <c r="U586" s="1"/>
      <c r="V586" s="1"/>
      <c r="W586" s="1"/>
      <c r="X586" s="1"/>
      <c r="Y586" s="1"/>
      <c r="Z586" s="1"/>
    </row>
    <row r="587" spans="1:26" ht="15.75" customHeight="1" x14ac:dyDescent="0.4">
      <c r="A587" s="1"/>
      <c r="B587" s="1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34"/>
      <c r="S587" s="2"/>
      <c r="T587" s="2"/>
      <c r="U587" s="1"/>
      <c r="V587" s="1"/>
      <c r="W587" s="1"/>
      <c r="X587" s="1"/>
      <c r="Y587" s="1"/>
      <c r="Z587" s="1"/>
    </row>
    <row r="588" spans="1:26" ht="15.75" customHeight="1" x14ac:dyDescent="0.4">
      <c r="A588" s="1"/>
      <c r="B588" s="1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34"/>
      <c r="S588" s="2"/>
      <c r="T588" s="2"/>
      <c r="U588" s="1"/>
      <c r="V588" s="1"/>
      <c r="W588" s="1"/>
      <c r="X588" s="1"/>
      <c r="Y588" s="1"/>
      <c r="Z588" s="1"/>
    </row>
    <row r="589" spans="1:26" ht="15.75" customHeight="1" x14ac:dyDescent="0.4">
      <c r="A589" s="1"/>
      <c r="B589" s="1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34"/>
      <c r="S589" s="2"/>
      <c r="T589" s="2"/>
      <c r="U589" s="1"/>
      <c r="V589" s="1"/>
      <c r="W589" s="1"/>
      <c r="X589" s="1"/>
      <c r="Y589" s="1"/>
      <c r="Z589" s="1"/>
    </row>
    <row r="590" spans="1:26" ht="15.75" customHeight="1" x14ac:dyDescent="0.4">
      <c r="A590" s="1"/>
      <c r="B590" s="1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34"/>
      <c r="S590" s="2"/>
      <c r="T590" s="2"/>
      <c r="U590" s="1"/>
      <c r="V590" s="1"/>
      <c r="W590" s="1"/>
      <c r="X590" s="1"/>
      <c r="Y590" s="1"/>
      <c r="Z590" s="1"/>
    </row>
    <row r="591" spans="1:26" ht="15.75" customHeight="1" x14ac:dyDescent="0.4">
      <c r="A591" s="1"/>
      <c r="B591" s="1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34"/>
      <c r="S591" s="2"/>
      <c r="T591" s="2"/>
      <c r="U591" s="1"/>
      <c r="V591" s="1"/>
      <c r="W591" s="1"/>
      <c r="X591" s="1"/>
      <c r="Y591" s="1"/>
      <c r="Z591" s="1"/>
    </row>
    <row r="592" spans="1:26" ht="15.75" customHeight="1" x14ac:dyDescent="0.4">
      <c r="A592" s="1"/>
      <c r="B592" s="1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34"/>
      <c r="S592" s="2"/>
      <c r="T592" s="2"/>
      <c r="U592" s="1"/>
      <c r="V592" s="1"/>
      <c r="W592" s="1"/>
      <c r="X592" s="1"/>
      <c r="Y592" s="1"/>
      <c r="Z592" s="1"/>
    </row>
    <row r="593" spans="1:26" ht="15.75" customHeight="1" x14ac:dyDescent="0.4">
      <c r="A593" s="1"/>
      <c r="B593" s="1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34"/>
      <c r="S593" s="2"/>
      <c r="T593" s="2"/>
      <c r="U593" s="1"/>
      <c r="V593" s="1"/>
      <c r="W593" s="1"/>
      <c r="X593" s="1"/>
      <c r="Y593" s="1"/>
      <c r="Z593" s="1"/>
    </row>
    <row r="594" spans="1:26" ht="15.75" customHeight="1" x14ac:dyDescent="0.4">
      <c r="A594" s="1"/>
      <c r="B594" s="1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34"/>
      <c r="S594" s="2"/>
      <c r="T594" s="2"/>
      <c r="U594" s="1"/>
      <c r="V594" s="1"/>
      <c r="W594" s="1"/>
      <c r="X594" s="1"/>
      <c r="Y594" s="1"/>
      <c r="Z594" s="1"/>
    </row>
    <row r="595" spans="1:26" ht="15.75" customHeight="1" x14ac:dyDescent="0.4">
      <c r="A595" s="1"/>
      <c r="B595" s="1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34"/>
      <c r="S595" s="2"/>
      <c r="T595" s="2"/>
      <c r="U595" s="1"/>
      <c r="V595" s="1"/>
      <c r="W595" s="1"/>
      <c r="X595" s="1"/>
      <c r="Y595" s="1"/>
      <c r="Z595" s="1"/>
    </row>
    <row r="596" spans="1:26" ht="15.75" customHeight="1" x14ac:dyDescent="0.4">
      <c r="A596" s="1"/>
      <c r="B596" s="1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34"/>
      <c r="S596" s="2"/>
      <c r="T596" s="2"/>
      <c r="U596" s="1"/>
      <c r="V596" s="1"/>
      <c r="W596" s="1"/>
      <c r="X596" s="1"/>
      <c r="Y596" s="1"/>
      <c r="Z596" s="1"/>
    </row>
    <row r="597" spans="1:26" ht="15.75" customHeight="1" x14ac:dyDescent="0.4">
      <c r="A597" s="1"/>
      <c r="B597" s="1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34"/>
      <c r="S597" s="2"/>
      <c r="T597" s="2"/>
      <c r="U597" s="1"/>
      <c r="V597" s="1"/>
      <c r="W597" s="1"/>
      <c r="X597" s="1"/>
      <c r="Y597" s="1"/>
      <c r="Z597" s="1"/>
    </row>
    <row r="598" spans="1:26" ht="15.75" customHeight="1" x14ac:dyDescent="0.4">
      <c r="A598" s="1"/>
      <c r="B598" s="1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34"/>
      <c r="S598" s="2"/>
      <c r="T598" s="2"/>
      <c r="U598" s="1"/>
      <c r="V598" s="1"/>
      <c r="W598" s="1"/>
      <c r="X598" s="1"/>
      <c r="Y598" s="1"/>
      <c r="Z598" s="1"/>
    </row>
    <row r="599" spans="1:26" ht="15.75" customHeight="1" x14ac:dyDescent="0.4">
      <c r="A599" s="1"/>
      <c r="B599" s="1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34"/>
      <c r="S599" s="2"/>
      <c r="T599" s="2"/>
      <c r="U599" s="1"/>
      <c r="V599" s="1"/>
      <c r="W599" s="1"/>
      <c r="X599" s="1"/>
      <c r="Y599" s="1"/>
      <c r="Z599" s="1"/>
    </row>
    <row r="600" spans="1:26" ht="15.75" customHeight="1" x14ac:dyDescent="0.4">
      <c r="A600" s="1"/>
      <c r="B600" s="1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34"/>
      <c r="S600" s="2"/>
      <c r="T600" s="2"/>
      <c r="U600" s="1"/>
      <c r="V600" s="1"/>
      <c r="W600" s="1"/>
      <c r="X600" s="1"/>
      <c r="Y600" s="1"/>
      <c r="Z600" s="1"/>
    </row>
    <row r="601" spans="1:26" ht="15.75" customHeight="1" x14ac:dyDescent="0.4">
      <c r="A601" s="1"/>
      <c r="B601" s="1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34"/>
      <c r="S601" s="2"/>
      <c r="T601" s="2"/>
      <c r="U601" s="1"/>
      <c r="V601" s="1"/>
      <c r="W601" s="1"/>
      <c r="X601" s="1"/>
      <c r="Y601" s="1"/>
      <c r="Z601" s="1"/>
    </row>
    <row r="602" spans="1:26" ht="15.75" customHeight="1" x14ac:dyDescent="0.4">
      <c r="A602" s="1"/>
      <c r="B602" s="1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34"/>
      <c r="S602" s="2"/>
      <c r="T602" s="2"/>
      <c r="U602" s="1"/>
      <c r="V602" s="1"/>
      <c r="W602" s="1"/>
      <c r="X602" s="1"/>
      <c r="Y602" s="1"/>
      <c r="Z602" s="1"/>
    </row>
    <row r="603" spans="1:26" ht="15.75" customHeight="1" x14ac:dyDescent="0.4">
      <c r="A603" s="1"/>
      <c r="B603" s="1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34"/>
      <c r="S603" s="2"/>
      <c r="T603" s="2"/>
      <c r="U603" s="1"/>
      <c r="V603" s="1"/>
      <c r="W603" s="1"/>
      <c r="X603" s="1"/>
      <c r="Y603" s="1"/>
      <c r="Z603" s="1"/>
    </row>
    <row r="604" spans="1:26" ht="15.75" customHeight="1" x14ac:dyDescent="0.4">
      <c r="A604" s="1"/>
      <c r="B604" s="1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34"/>
      <c r="S604" s="2"/>
      <c r="T604" s="2"/>
      <c r="U604" s="1"/>
      <c r="V604" s="1"/>
      <c r="W604" s="1"/>
      <c r="X604" s="1"/>
      <c r="Y604" s="1"/>
      <c r="Z604" s="1"/>
    </row>
    <row r="605" spans="1:26" ht="15.75" customHeight="1" x14ac:dyDescent="0.4">
      <c r="A605" s="1"/>
      <c r="B605" s="1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34"/>
      <c r="S605" s="2"/>
      <c r="T605" s="2"/>
      <c r="U605" s="1"/>
      <c r="V605" s="1"/>
      <c r="W605" s="1"/>
      <c r="X605" s="1"/>
      <c r="Y605" s="1"/>
      <c r="Z605" s="1"/>
    </row>
    <row r="606" spans="1:26" ht="15.75" customHeight="1" x14ac:dyDescent="0.4">
      <c r="A606" s="1"/>
      <c r="B606" s="1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34"/>
      <c r="S606" s="2"/>
      <c r="T606" s="2"/>
      <c r="U606" s="1"/>
      <c r="V606" s="1"/>
      <c r="W606" s="1"/>
      <c r="X606" s="1"/>
      <c r="Y606" s="1"/>
      <c r="Z606" s="1"/>
    </row>
    <row r="607" spans="1:26" ht="15.75" customHeight="1" x14ac:dyDescent="0.4">
      <c r="A607" s="1"/>
      <c r="B607" s="1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34"/>
      <c r="S607" s="2"/>
      <c r="T607" s="2"/>
      <c r="U607" s="1"/>
      <c r="V607" s="1"/>
      <c r="W607" s="1"/>
      <c r="X607" s="1"/>
      <c r="Y607" s="1"/>
      <c r="Z607" s="1"/>
    </row>
    <row r="608" spans="1:26" ht="15.75" customHeight="1" x14ac:dyDescent="0.4">
      <c r="A608" s="1"/>
      <c r="B608" s="1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34"/>
      <c r="S608" s="2"/>
      <c r="T608" s="2"/>
      <c r="U608" s="1"/>
      <c r="V608" s="1"/>
      <c r="W608" s="1"/>
      <c r="X608" s="1"/>
      <c r="Y608" s="1"/>
      <c r="Z608" s="1"/>
    </row>
    <row r="609" spans="1:26" ht="15.75" customHeight="1" x14ac:dyDescent="0.4">
      <c r="A609" s="1"/>
      <c r="B609" s="1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34"/>
      <c r="S609" s="2"/>
      <c r="T609" s="2"/>
      <c r="U609" s="1"/>
      <c r="V609" s="1"/>
      <c r="W609" s="1"/>
      <c r="X609" s="1"/>
      <c r="Y609" s="1"/>
      <c r="Z609" s="1"/>
    </row>
    <row r="610" spans="1:26" ht="15.75" customHeight="1" x14ac:dyDescent="0.4">
      <c r="A610" s="1"/>
      <c r="B610" s="1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34"/>
      <c r="S610" s="2"/>
      <c r="T610" s="2"/>
      <c r="U610" s="1"/>
      <c r="V610" s="1"/>
      <c r="W610" s="1"/>
      <c r="X610" s="1"/>
      <c r="Y610" s="1"/>
      <c r="Z610" s="1"/>
    </row>
    <row r="611" spans="1:26" ht="15.75" customHeight="1" x14ac:dyDescent="0.4">
      <c r="A611" s="1"/>
      <c r="B611" s="1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34"/>
      <c r="S611" s="2"/>
      <c r="T611" s="2"/>
      <c r="U611" s="1"/>
      <c r="V611" s="1"/>
      <c r="W611" s="1"/>
      <c r="X611" s="1"/>
      <c r="Y611" s="1"/>
      <c r="Z611" s="1"/>
    </row>
    <row r="612" spans="1:26" ht="15.75" customHeight="1" x14ac:dyDescent="0.4">
      <c r="A612" s="1"/>
      <c r="B612" s="1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34"/>
      <c r="S612" s="2"/>
      <c r="T612" s="2"/>
      <c r="U612" s="1"/>
      <c r="V612" s="1"/>
      <c r="W612" s="1"/>
      <c r="X612" s="1"/>
      <c r="Y612" s="1"/>
      <c r="Z612" s="1"/>
    </row>
    <row r="613" spans="1:26" ht="15.75" customHeight="1" x14ac:dyDescent="0.4">
      <c r="A613" s="1"/>
      <c r="B613" s="1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34"/>
      <c r="S613" s="2"/>
      <c r="T613" s="2"/>
      <c r="U613" s="1"/>
      <c r="V613" s="1"/>
      <c r="W613" s="1"/>
      <c r="X613" s="1"/>
      <c r="Y613" s="1"/>
      <c r="Z613" s="1"/>
    </row>
    <row r="614" spans="1:26" ht="15.75" customHeight="1" x14ac:dyDescent="0.4">
      <c r="A614" s="1"/>
      <c r="B614" s="1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34"/>
      <c r="S614" s="2"/>
      <c r="T614" s="2"/>
      <c r="U614" s="1"/>
      <c r="V614" s="1"/>
      <c r="W614" s="1"/>
      <c r="X614" s="1"/>
      <c r="Y614" s="1"/>
      <c r="Z614" s="1"/>
    </row>
    <row r="615" spans="1:26" ht="15.75" customHeight="1" x14ac:dyDescent="0.4">
      <c r="A615" s="1"/>
      <c r="B615" s="1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34"/>
      <c r="S615" s="2"/>
      <c r="T615" s="2"/>
      <c r="U615" s="1"/>
      <c r="V615" s="1"/>
      <c r="W615" s="1"/>
      <c r="X615" s="1"/>
      <c r="Y615" s="1"/>
      <c r="Z615" s="1"/>
    </row>
    <row r="616" spans="1:26" ht="15.75" customHeight="1" x14ac:dyDescent="0.4">
      <c r="A616" s="1"/>
      <c r="B616" s="1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34"/>
      <c r="S616" s="2"/>
      <c r="T616" s="2"/>
      <c r="U616" s="1"/>
      <c r="V616" s="1"/>
      <c r="W616" s="1"/>
      <c r="X616" s="1"/>
      <c r="Y616" s="1"/>
      <c r="Z616" s="1"/>
    </row>
    <row r="617" spans="1:26" ht="15.75" customHeight="1" x14ac:dyDescent="0.4">
      <c r="A617" s="1"/>
      <c r="B617" s="1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34"/>
      <c r="S617" s="2"/>
      <c r="T617" s="2"/>
      <c r="U617" s="1"/>
      <c r="V617" s="1"/>
      <c r="W617" s="1"/>
      <c r="X617" s="1"/>
      <c r="Y617" s="1"/>
      <c r="Z617" s="1"/>
    </row>
    <row r="618" spans="1:26" ht="15.75" customHeight="1" x14ac:dyDescent="0.4">
      <c r="A618" s="1"/>
      <c r="B618" s="1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34"/>
      <c r="S618" s="2"/>
      <c r="T618" s="2"/>
      <c r="U618" s="1"/>
      <c r="V618" s="1"/>
      <c r="W618" s="1"/>
      <c r="X618" s="1"/>
      <c r="Y618" s="1"/>
      <c r="Z618" s="1"/>
    </row>
    <row r="619" spans="1:26" ht="15.75" customHeight="1" x14ac:dyDescent="0.4">
      <c r="A619" s="1"/>
      <c r="B619" s="1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34"/>
      <c r="S619" s="2"/>
      <c r="T619" s="2"/>
      <c r="U619" s="1"/>
      <c r="V619" s="1"/>
      <c r="W619" s="1"/>
      <c r="X619" s="1"/>
      <c r="Y619" s="1"/>
      <c r="Z619" s="1"/>
    </row>
    <row r="620" spans="1:26" ht="15.75" customHeight="1" x14ac:dyDescent="0.4">
      <c r="A620" s="1"/>
      <c r="B620" s="1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34"/>
      <c r="S620" s="2"/>
      <c r="T620" s="2"/>
      <c r="U620" s="1"/>
      <c r="V620" s="1"/>
      <c r="W620" s="1"/>
      <c r="X620" s="1"/>
      <c r="Y620" s="1"/>
      <c r="Z620" s="1"/>
    </row>
    <row r="621" spans="1:26" ht="15.75" customHeight="1" x14ac:dyDescent="0.4">
      <c r="A621" s="1"/>
      <c r="B621" s="1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34"/>
      <c r="S621" s="2"/>
      <c r="T621" s="2"/>
      <c r="U621" s="1"/>
      <c r="V621" s="1"/>
      <c r="W621" s="1"/>
      <c r="X621" s="1"/>
      <c r="Y621" s="1"/>
      <c r="Z621" s="1"/>
    </row>
    <row r="622" spans="1:26" ht="15.75" customHeight="1" x14ac:dyDescent="0.4">
      <c r="A622" s="1"/>
      <c r="B622" s="1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34"/>
      <c r="S622" s="2"/>
      <c r="T622" s="2"/>
      <c r="U622" s="1"/>
      <c r="V622" s="1"/>
      <c r="W622" s="1"/>
      <c r="X622" s="1"/>
      <c r="Y622" s="1"/>
      <c r="Z622" s="1"/>
    </row>
    <row r="623" spans="1:26" ht="15.75" customHeight="1" x14ac:dyDescent="0.4">
      <c r="A623" s="1"/>
      <c r="B623" s="1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34"/>
      <c r="S623" s="2"/>
      <c r="T623" s="2"/>
      <c r="U623" s="1"/>
      <c r="V623" s="1"/>
      <c r="W623" s="1"/>
      <c r="X623" s="1"/>
      <c r="Y623" s="1"/>
      <c r="Z623" s="1"/>
    </row>
    <row r="624" spans="1:26" ht="15.75" customHeight="1" x14ac:dyDescent="0.4">
      <c r="A624" s="1"/>
      <c r="B624" s="1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34"/>
      <c r="S624" s="2"/>
      <c r="T624" s="2"/>
      <c r="U624" s="1"/>
      <c r="V624" s="1"/>
      <c r="W624" s="1"/>
      <c r="X624" s="1"/>
      <c r="Y624" s="1"/>
      <c r="Z624" s="1"/>
    </row>
    <row r="625" spans="1:26" ht="15.75" customHeight="1" x14ac:dyDescent="0.4">
      <c r="A625" s="1"/>
      <c r="B625" s="1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34"/>
      <c r="S625" s="2"/>
      <c r="T625" s="2"/>
      <c r="U625" s="1"/>
      <c r="V625" s="1"/>
      <c r="W625" s="1"/>
      <c r="X625" s="1"/>
      <c r="Y625" s="1"/>
      <c r="Z625" s="1"/>
    </row>
    <row r="626" spans="1:26" ht="15.75" customHeight="1" x14ac:dyDescent="0.4">
      <c r="A626" s="1"/>
      <c r="B626" s="1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34"/>
      <c r="S626" s="2"/>
      <c r="T626" s="2"/>
      <c r="U626" s="1"/>
      <c r="V626" s="1"/>
      <c r="W626" s="1"/>
      <c r="X626" s="1"/>
      <c r="Y626" s="1"/>
      <c r="Z626" s="1"/>
    </row>
    <row r="627" spans="1:26" ht="15.75" customHeight="1" x14ac:dyDescent="0.4">
      <c r="A627" s="1"/>
      <c r="B627" s="1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34"/>
      <c r="S627" s="2"/>
      <c r="T627" s="2"/>
      <c r="U627" s="1"/>
      <c r="V627" s="1"/>
      <c r="W627" s="1"/>
      <c r="X627" s="1"/>
      <c r="Y627" s="1"/>
      <c r="Z627" s="1"/>
    </row>
    <row r="628" spans="1:26" ht="15.75" customHeight="1" x14ac:dyDescent="0.4">
      <c r="A628" s="1"/>
      <c r="B628" s="1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34"/>
      <c r="S628" s="2"/>
      <c r="T628" s="2"/>
      <c r="U628" s="1"/>
      <c r="V628" s="1"/>
      <c r="W628" s="1"/>
      <c r="X628" s="1"/>
      <c r="Y628" s="1"/>
      <c r="Z628" s="1"/>
    </row>
    <row r="629" spans="1:26" ht="15.75" customHeight="1" x14ac:dyDescent="0.4">
      <c r="A629" s="1"/>
      <c r="B629" s="1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34"/>
      <c r="S629" s="2"/>
      <c r="T629" s="2"/>
      <c r="U629" s="1"/>
      <c r="V629" s="1"/>
      <c r="W629" s="1"/>
      <c r="X629" s="1"/>
      <c r="Y629" s="1"/>
      <c r="Z629" s="1"/>
    </row>
    <row r="630" spans="1:26" ht="15.75" customHeight="1" x14ac:dyDescent="0.4">
      <c r="A630" s="1"/>
      <c r="B630" s="1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34"/>
      <c r="S630" s="2"/>
      <c r="T630" s="2"/>
      <c r="U630" s="1"/>
      <c r="V630" s="1"/>
      <c r="W630" s="1"/>
      <c r="X630" s="1"/>
      <c r="Y630" s="1"/>
      <c r="Z630" s="1"/>
    </row>
    <row r="631" spans="1:26" ht="15.75" customHeight="1" x14ac:dyDescent="0.4">
      <c r="A631" s="1"/>
      <c r="B631" s="1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34"/>
      <c r="S631" s="2"/>
      <c r="T631" s="2"/>
      <c r="U631" s="1"/>
      <c r="V631" s="1"/>
      <c r="W631" s="1"/>
      <c r="X631" s="1"/>
      <c r="Y631" s="1"/>
      <c r="Z631" s="1"/>
    </row>
    <row r="632" spans="1:26" ht="15.75" customHeight="1" x14ac:dyDescent="0.4">
      <c r="A632" s="1"/>
      <c r="B632" s="1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34"/>
      <c r="S632" s="2"/>
      <c r="T632" s="2"/>
      <c r="U632" s="1"/>
      <c r="V632" s="1"/>
      <c r="W632" s="1"/>
      <c r="X632" s="1"/>
      <c r="Y632" s="1"/>
      <c r="Z632" s="1"/>
    </row>
    <row r="633" spans="1:26" ht="15.75" customHeight="1" x14ac:dyDescent="0.4">
      <c r="A633" s="1"/>
      <c r="B633" s="1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34"/>
      <c r="S633" s="2"/>
      <c r="T633" s="2"/>
      <c r="U633" s="1"/>
      <c r="V633" s="1"/>
      <c r="W633" s="1"/>
      <c r="X633" s="1"/>
      <c r="Y633" s="1"/>
      <c r="Z633" s="1"/>
    </row>
    <row r="634" spans="1:26" ht="15.75" customHeight="1" x14ac:dyDescent="0.4">
      <c r="A634" s="1"/>
      <c r="B634" s="1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34"/>
      <c r="S634" s="2"/>
      <c r="T634" s="2"/>
      <c r="U634" s="1"/>
      <c r="V634" s="1"/>
      <c r="W634" s="1"/>
      <c r="X634" s="1"/>
      <c r="Y634" s="1"/>
      <c r="Z634" s="1"/>
    </row>
    <row r="635" spans="1:26" ht="15.75" customHeight="1" x14ac:dyDescent="0.4">
      <c r="A635" s="1"/>
      <c r="B635" s="1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34"/>
      <c r="S635" s="2"/>
      <c r="T635" s="2"/>
      <c r="U635" s="1"/>
      <c r="V635" s="1"/>
      <c r="W635" s="1"/>
      <c r="X635" s="1"/>
      <c r="Y635" s="1"/>
      <c r="Z635" s="1"/>
    </row>
    <row r="636" spans="1:26" ht="15.75" customHeight="1" x14ac:dyDescent="0.4">
      <c r="A636" s="1"/>
      <c r="B636" s="1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34"/>
      <c r="S636" s="2"/>
      <c r="T636" s="2"/>
      <c r="U636" s="1"/>
      <c r="V636" s="1"/>
      <c r="W636" s="1"/>
      <c r="X636" s="1"/>
      <c r="Y636" s="1"/>
      <c r="Z636" s="1"/>
    </row>
    <row r="637" spans="1:26" ht="15.75" customHeight="1" x14ac:dyDescent="0.4">
      <c r="A637" s="1"/>
      <c r="B637" s="1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34"/>
      <c r="S637" s="2"/>
      <c r="T637" s="2"/>
      <c r="U637" s="1"/>
      <c r="V637" s="1"/>
      <c r="W637" s="1"/>
      <c r="X637" s="1"/>
      <c r="Y637" s="1"/>
      <c r="Z637" s="1"/>
    </row>
    <row r="638" spans="1:26" ht="15.75" customHeight="1" x14ac:dyDescent="0.4">
      <c r="A638" s="1"/>
      <c r="B638" s="1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34"/>
      <c r="S638" s="2"/>
      <c r="T638" s="2"/>
      <c r="U638" s="1"/>
      <c r="V638" s="1"/>
      <c r="W638" s="1"/>
      <c r="X638" s="1"/>
      <c r="Y638" s="1"/>
      <c r="Z638" s="1"/>
    </row>
    <row r="639" spans="1:26" ht="15.75" customHeight="1" x14ac:dyDescent="0.4">
      <c r="A639" s="1"/>
      <c r="B639" s="1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34"/>
      <c r="S639" s="2"/>
      <c r="T639" s="2"/>
      <c r="U639" s="1"/>
      <c r="V639" s="1"/>
      <c r="W639" s="1"/>
      <c r="X639" s="1"/>
      <c r="Y639" s="1"/>
      <c r="Z639" s="1"/>
    </row>
    <row r="640" spans="1:26" ht="15.75" customHeight="1" x14ac:dyDescent="0.4">
      <c r="A640" s="1"/>
      <c r="B640" s="1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34"/>
      <c r="S640" s="2"/>
      <c r="T640" s="2"/>
      <c r="U640" s="1"/>
      <c r="V640" s="1"/>
      <c r="W640" s="1"/>
      <c r="X640" s="1"/>
      <c r="Y640" s="1"/>
      <c r="Z640" s="1"/>
    </row>
    <row r="641" spans="1:26" ht="15.75" customHeight="1" x14ac:dyDescent="0.4">
      <c r="A641" s="1"/>
      <c r="B641" s="1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34"/>
      <c r="S641" s="2"/>
      <c r="T641" s="2"/>
      <c r="U641" s="1"/>
      <c r="V641" s="1"/>
      <c r="W641" s="1"/>
      <c r="X641" s="1"/>
      <c r="Y641" s="1"/>
      <c r="Z641" s="1"/>
    </row>
    <row r="642" spans="1:26" ht="15.75" customHeight="1" x14ac:dyDescent="0.4">
      <c r="A642" s="1"/>
      <c r="B642" s="1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34"/>
      <c r="S642" s="2"/>
      <c r="T642" s="2"/>
      <c r="U642" s="1"/>
      <c r="V642" s="1"/>
      <c r="W642" s="1"/>
      <c r="X642" s="1"/>
      <c r="Y642" s="1"/>
      <c r="Z642" s="1"/>
    </row>
    <row r="643" spans="1:26" ht="15.75" customHeight="1" x14ac:dyDescent="0.4">
      <c r="A643" s="1"/>
      <c r="B643" s="1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34"/>
      <c r="S643" s="2"/>
      <c r="T643" s="2"/>
      <c r="U643" s="1"/>
      <c r="V643" s="1"/>
      <c r="W643" s="1"/>
      <c r="X643" s="1"/>
      <c r="Y643" s="1"/>
      <c r="Z643" s="1"/>
    </row>
    <row r="644" spans="1:26" ht="15.75" customHeight="1" x14ac:dyDescent="0.4">
      <c r="A644" s="1"/>
      <c r="B644" s="1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34"/>
      <c r="S644" s="2"/>
      <c r="T644" s="2"/>
      <c r="U644" s="1"/>
      <c r="V644" s="1"/>
      <c r="W644" s="1"/>
      <c r="X644" s="1"/>
      <c r="Y644" s="1"/>
      <c r="Z644" s="1"/>
    </row>
    <row r="645" spans="1:26" ht="15.75" customHeight="1" x14ac:dyDescent="0.4">
      <c r="A645" s="1"/>
      <c r="B645" s="1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34"/>
      <c r="S645" s="2"/>
      <c r="T645" s="2"/>
      <c r="U645" s="1"/>
      <c r="V645" s="1"/>
      <c r="W645" s="1"/>
      <c r="X645" s="1"/>
      <c r="Y645" s="1"/>
      <c r="Z645" s="1"/>
    </row>
    <row r="646" spans="1:26" ht="15.75" customHeight="1" x14ac:dyDescent="0.4">
      <c r="A646" s="1"/>
      <c r="B646" s="1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34"/>
      <c r="S646" s="2"/>
      <c r="T646" s="2"/>
      <c r="U646" s="1"/>
      <c r="V646" s="1"/>
      <c r="W646" s="1"/>
      <c r="X646" s="1"/>
      <c r="Y646" s="1"/>
      <c r="Z646" s="1"/>
    </row>
    <row r="647" spans="1:26" ht="15.75" customHeight="1" x14ac:dyDescent="0.4">
      <c r="A647" s="1"/>
      <c r="B647" s="1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34"/>
      <c r="S647" s="2"/>
      <c r="T647" s="2"/>
      <c r="U647" s="1"/>
      <c r="V647" s="1"/>
      <c r="W647" s="1"/>
      <c r="X647" s="1"/>
      <c r="Y647" s="1"/>
      <c r="Z647" s="1"/>
    </row>
    <row r="648" spans="1:26" ht="15.75" customHeight="1" x14ac:dyDescent="0.4">
      <c r="A648" s="1"/>
      <c r="B648" s="1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34"/>
      <c r="S648" s="2"/>
      <c r="T648" s="2"/>
      <c r="U648" s="1"/>
      <c r="V648" s="1"/>
      <c r="W648" s="1"/>
      <c r="X648" s="1"/>
      <c r="Y648" s="1"/>
      <c r="Z648" s="1"/>
    </row>
    <row r="649" spans="1:26" ht="15.75" customHeight="1" x14ac:dyDescent="0.4">
      <c r="A649" s="1"/>
      <c r="B649" s="1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34"/>
      <c r="S649" s="2"/>
      <c r="T649" s="2"/>
      <c r="U649" s="1"/>
      <c r="V649" s="1"/>
      <c r="W649" s="1"/>
      <c r="X649" s="1"/>
      <c r="Y649" s="1"/>
      <c r="Z649" s="1"/>
    </row>
    <row r="650" spans="1:26" ht="15.75" customHeight="1" x14ac:dyDescent="0.4">
      <c r="A650" s="1"/>
      <c r="B650" s="1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34"/>
      <c r="S650" s="2"/>
      <c r="T650" s="2"/>
      <c r="U650" s="1"/>
      <c r="V650" s="1"/>
      <c r="W650" s="1"/>
      <c r="X650" s="1"/>
      <c r="Y650" s="1"/>
      <c r="Z650" s="1"/>
    </row>
    <row r="651" spans="1:26" ht="15.75" customHeight="1" x14ac:dyDescent="0.4">
      <c r="A651" s="1"/>
      <c r="B651" s="1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34"/>
      <c r="S651" s="2"/>
      <c r="T651" s="2"/>
      <c r="U651" s="1"/>
      <c r="V651" s="1"/>
      <c r="W651" s="1"/>
      <c r="X651" s="1"/>
      <c r="Y651" s="1"/>
      <c r="Z651" s="1"/>
    </row>
    <row r="652" spans="1:26" ht="15.75" customHeight="1" x14ac:dyDescent="0.4">
      <c r="A652" s="1"/>
      <c r="B652" s="1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34"/>
      <c r="S652" s="2"/>
      <c r="T652" s="2"/>
      <c r="U652" s="1"/>
      <c r="V652" s="1"/>
      <c r="W652" s="1"/>
      <c r="X652" s="1"/>
      <c r="Y652" s="1"/>
      <c r="Z652" s="1"/>
    </row>
    <row r="653" spans="1:26" ht="15.75" customHeight="1" x14ac:dyDescent="0.4">
      <c r="A653" s="1"/>
      <c r="B653" s="1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34"/>
      <c r="S653" s="2"/>
      <c r="T653" s="2"/>
      <c r="U653" s="1"/>
      <c r="V653" s="1"/>
      <c r="W653" s="1"/>
      <c r="X653" s="1"/>
      <c r="Y653" s="1"/>
      <c r="Z653" s="1"/>
    </row>
    <row r="654" spans="1:26" ht="15.75" customHeight="1" x14ac:dyDescent="0.4">
      <c r="A654" s="1"/>
      <c r="B654" s="1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34"/>
      <c r="S654" s="2"/>
      <c r="T654" s="2"/>
      <c r="U654" s="1"/>
      <c r="V654" s="1"/>
      <c r="W654" s="1"/>
      <c r="X654" s="1"/>
      <c r="Y654" s="1"/>
      <c r="Z654" s="1"/>
    </row>
    <row r="655" spans="1:26" ht="15.75" customHeight="1" x14ac:dyDescent="0.4">
      <c r="A655" s="1"/>
      <c r="B655" s="1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34"/>
      <c r="S655" s="2"/>
      <c r="T655" s="2"/>
      <c r="U655" s="1"/>
      <c r="V655" s="1"/>
      <c r="W655" s="1"/>
      <c r="X655" s="1"/>
      <c r="Y655" s="1"/>
      <c r="Z655" s="1"/>
    </row>
    <row r="656" spans="1:26" ht="15.75" customHeight="1" x14ac:dyDescent="0.4">
      <c r="A656" s="1"/>
      <c r="B656" s="1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34"/>
      <c r="S656" s="2"/>
      <c r="T656" s="2"/>
      <c r="U656" s="1"/>
      <c r="V656" s="1"/>
      <c r="W656" s="1"/>
      <c r="X656" s="1"/>
      <c r="Y656" s="1"/>
      <c r="Z656" s="1"/>
    </row>
    <row r="657" spans="1:26" ht="15.75" customHeight="1" x14ac:dyDescent="0.4">
      <c r="A657" s="1"/>
      <c r="B657" s="1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34"/>
      <c r="S657" s="2"/>
      <c r="T657" s="2"/>
      <c r="U657" s="1"/>
      <c r="V657" s="1"/>
      <c r="W657" s="1"/>
      <c r="X657" s="1"/>
      <c r="Y657" s="1"/>
      <c r="Z657" s="1"/>
    </row>
    <row r="658" spans="1:26" ht="15.75" customHeight="1" x14ac:dyDescent="0.4">
      <c r="A658" s="1"/>
      <c r="B658" s="1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34"/>
      <c r="S658" s="2"/>
      <c r="T658" s="2"/>
      <c r="U658" s="1"/>
      <c r="V658" s="1"/>
      <c r="W658" s="1"/>
      <c r="X658" s="1"/>
      <c r="Y658" s="1"/>
      <c r="Z658" s="1"/>
    </row>
    <row r="659" spans="1:26" ht="15.75" customHeight="1" x14ac:dyDescent="0.4">
      <c r="A659" s="1"/>
      <c r="B659" s="1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34"/>
      <c r="S659" s="2"/>
      <c r="T659" s="2"/>
      <c r="U659" s="1"/>
      <c r="V659" s="1"/>
      <c r="W659" s="1"/>
      <c r="X659" s="1"/>
      <c r="Y659" s="1"/>
      <c r="Z659" s="1"/>
    </row>
    <row r="660" spans="1:26" ht="15.75" customHeight="1" x14ac:dyDescent="0.4">
      <c r="A660" s="1"/>
      <c r="B660" s="1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34"/>
      <c r="S660" s="2"/>
      <c r="T660" s="2"/>
      <c r="U660" s="1"/>
      <c r="V660" s="1"/>
      <c r="W660" s="1"/>
      <c r="X660" s="1"/>
      <c r="Y660" s="1"/>
      <c r="Z660" s="1"/>
    </row>
    <row r="661" spans="1:26" ht="15.75" customHeight="1" x14ac:dyDescent="0.4">
      <c r="A661" s="1"/>
      <c r="B661" s="1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34"/>
      <c r="S661" s="2"/>
      <c r="T661" s="2"/>
      <c r="U661" s="1"/>
      <c r="V661" s="1"/>
      <c r="W661" s="1"/>
      <c r="X661" s="1"/>
      <c r="Y661" s="1"/>
      <c r="Z661" s="1"/>
    </row>
    <row r="662" spans="1:26" ht="15.75" customHeight="1" x14ac:dyDescent="0.4">
      <c r="A662" s="1"/>
      <c r="B662" s="1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34"/>
      <c r="S662" s="2"/>
      <c r="T662" s="2"/>
      <c r="U662" s="1"/>
      <c r="V662" s="1"/>
      <c r="W662" s="1"/>
      <c r="X662" s="1"/>
      <c r="Y662" s="1"/>
      <c r="Z662" s="1"/>
    </row>
    <row r="663" spans="1:26" ht="15.75" customHeight="1" x14ac:dyDescent="0.4">
      <c r="A663" s="1"/>
      <c r="B663" s="1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34"/>
      <c r="S663" s="2"/>
      <c r="T663" s="2"/>
      <c r="U663" s="1"/>
      <c r="V663" s="1"/>
      <c r="W663" s="1"/>
      <c r="X663" s="1"/>
      <c r="Y663" s="1"/>
      <c r="Z663" s="1"/>
    </row>
    <row r="664" spans="1:26" ht="15.75" customHeight="1" x14ac:dyDescent="0.4">
      <c r="A664" s="1"/>
      <c r="B664" s="1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34"/>
      <c r="S664" s="2"/>
      <c r="T664" s="2"/>
      <c r="U664" s="1"/>
      <c r="V664" s="1"/>
      <c r="W664" s="1"/>
      <c r="X664" s="1"/>
      <c r="Y664" s="1"/>
      <c r="Z664" s="1"/>
    </row>
    <row r="665" spans="1:26" ht="15.75" customHeight="1" x14ac:dyDescent="0.4">
      <c r="A665" s="1"/>
      <c r="B665" s="1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34"/>
      <c r="S665" s="2"/>
      <c r="T665" s="2"/>
      <c r="U665" s="1"/>
      <c r="V665" s="1"/>
      <c r="W665" s="1"/>
      <c r="X665" s="1"/>
      <c r="Y665" s="1"/>
      <c r="Z665" s="1"/>
    </row>
    <row r="666" spans="1:26" ht="15.75" customHeight="1" x14ac:dyDescent="0.4">
      <c r="A666" s="1"/>
      <c r="B666" s="1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34"/>
      <c r="S666" s="2"/>
      <c r="T666" s="2"/>
      <c r="U666" s="1"/>
      <c r="V666" s="1"/>
      <c r="W666" s="1"/>
      <c r="X666" s="1"/>
      <c r="Y666" s="1"/>
      <c r="Z666" s="1"/>
    </row>
    <row r="667" spans="1:26" ht="15.75" customHeight="1" x14ac:dyDescent="0.4">
      <c r="A667" s="1"/>
      <c r="B667" s="1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34"/>
      <c r="S667" s="2"/>
      <c r="T667" s="2"/>
      <c r="U667" s="1"/>
      <c r="V667" s="1"/>
      <c r="W667" s="1"/>
      <c r="X667" s="1"/>
      <c r="Y667" s="1"/>
      <c r="Z667" s="1"/>
    </row>
    <row r="668" spans="1:26" ht="15.75" customHeight="1" x14ac:dyDescent="0.4">
      <c r="A668" s="1"/>
      <c r="B668" s="1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34"/>
      <c r="S668" s="2"/>
      <c r="T668" s="2"/>
      <c r="U668" s="1"/>
      <c r="V668" s="1"/>
      <c r="W668" s="1"/>
      <c r="X668" s="1"/>
      <c r="Y668" s="1"/>
      <c r="Z668" s="1"/>
    </row>
    <row r="669" spans="1:26" ht="15.75" customHeight="1" x14ac:dyDescent="0.4">
      <c r="A669" s="1"/>
      <c r="B669" s="1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34"/>
      <c r="S669" s="2"/>
      <c r="T669" s="2"/>
      <c r="U669" s="1"/>
      <c r="V669" s="1"/>
      <c r="W669" s="1"/>
      <c r="X669" s="1"/>
      <c r="Y669" s="1"/>
      <c r="Z669" s="1"/>
    </row>
    <row r="670" spans="1:26" ht="15.75" customHeight="1" x14ac:dyDescent="0.4">
      <c r="A670" s="1"/>
      <c r="B670" s="1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34"/>
      <c r="S670" s="2"/>
      <c r="T670" s="2"/>
      <c r="U670" s="1"/>
      <c r="V670" s="1"/>
      <c r="W670" s="1"/>
      <c r="X670" s="1"/>
      <c r="Y670" s="1"/>
      <c r="Z670" s="1"/>
    </row>
    <row r="671" spans="1:26" ht="15.75" customHeight="1" x14ac:dyDescent="0.4">
      <c r="A671" s="1"/>
      <c r="B671" s="1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34"/>
      <c r="S671" s="2"/>
      <c r="T671" s="2"/>
      <c r="U671" s="1"/>
      <c r="V671" s="1"/>
      <c r="W671" s="1"/>
      <c r="X671" s="1"/>
      <c r="Y671" s="1"/>
      <c r="Z671" s="1"/>
    </row>
    <row r="672" spans="1:26" ht="15.75" customHeight="1" x14ac:dyDescent="0.4">
      <c r="A672" s="1"/>
      <c r="B672" s="1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34"/>
      <c r="S672" s="2"/>
      <c r="T672" s="2"/>
      <c r="U672" s="1"/>
      <c r="V672" s="1"/>
      <c r="W672" s="1"/>
      <c r="X672" s="1"/>
      <c r="Y672" s="1"/>
      <c r="Z672" s="1"/>
    </row>
    <row r="673" spans="1:26" ht="15.75" customHeight="1" x14ac:dyDescent="0.4">
      <c r="A673" s="1"/>
      <c r="B673" s="1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34"/>
      <c r="S673" s="2"/>
      <c r="T673" s="2"/>
      <c r="U673" s="1"/>
      <c r="V673" s="1"/>
      <c r="W673" s="1"/>
      <c r="X673" s="1"/>
      <c r="Y673" s="1"/>
      <c r="Z673" s="1"/>
    </row>
    <row r="674" spans="1:26" ht="15.75" customHeight="1" x14ac:dyDescent="0.4">
      <c r="A674" s="1"/>
      <c r="B674" s="1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34"/>
      <c r="S674" s="2"/>
      <c r="T674" s="2"/>
      <c r="U674" s="1"/>
      <c r="V674" s="1"/>
      <c r="W674" s="1"/>
      <c r="X674" s="1"/>
      <c r="Y674" s="1"/>
      <c r="Z674" s="1"/>
    </row>
    <row r="675" spans="1:26" ht="15.75" customHeight="1" x14ac:dyDescent="0.4">
      <c r="A675" s="1"/>
      <c r="B675" s="1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34"/>
      <c r="S675" s="2"/>
      <c r="T675" s="2"/>
      <c r="U675" s="1"/>
      <c r="V675" s="1"/>
      <c r="W675" s="1"/>
      <c r="X675" s="1"/>
      <c r="Y675" s="1"/>
      <c r="Z675" s="1"/>
    </row>
    <row r="676" spans="1:26" ht="15.75" customHeight="1" x14ac:dyDescent="0.4">
      <c r="A676" s="1"/>
      <c r="B676" s="1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34"/>
      <c r="S676" s="2"/>
      <c r="T676" s="2"/>
      <c r="U676" s="1"/>
      <c r="V676" s="1"/>
      <c r="W676" s="1"/>
      <c r="X676" s="1"/>
      <c r="Y676" s="1"/>
      <c r="Z676" s="1"/>
    </row>
    <row r="677" spans="1:26" ht="15.75" customHeight="1" x14ac:dyDescent="0.4">
      <c r="A677" s="1"/>
      <c r="B677" s="1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34"/>
      <c r="S677" s="2"/>
      <c r="T677" s="2"/>
      <c r="U677" s="1"/>
      <c r="V677" s="1"/>
      <c r="W677" s="1"/>
      <c r="X677" s="1"/>
      <c r="Y677" s="1"/>
      <c r="Z677" s="1"/>
    </row>
    <row r="678" spans="1:26" ht="15.75" customHeight="1" x14ac:dyDescent="0.4">
      <c r="A678" s="1"/>
      <c r="B678" s="1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34"/>
      <c r="S678" s="2"/>
      <c r="T678" s="2"/>
      <c r="U678" s="1"/>
      <c r="V678" s="1"/>
      <c r="W678" s="1"/>
      <c r="X678" s="1"/>
      <c r="Y678" s="1"/>
      <c r="Z678" s="1"/>
    </row>
    <row r="679" spans="1:26" ht="15.75" customHeight="1" x14ac:dyDescent="0.4">
      <c r="A679" s="1"/>
      <c r="B679" s="1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34"/>
      <c r="S679" s="2"/>
      <c r="T679" s="2"/>
      <c r="U679" s="1"/>
      <c r="V679" s="1"/>
      <c r="W679" s="1"/>
      <c r="X679" s="1"/>
      <c r="Y679" s="1"/>
      <c r="Z679" s="1"/>
    </row>
    <row r="680" spans="1:26" ht="15.75" customHeight="1" x14ac:dyDescent="0.4">
      <c r="A680" s="1"/>
      <c r="B680" s="1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34"/>
      <c r="S680" s="2"/>
      <c r="T680" s="2"/>
      <c r="U680" s="1"/>
      <c r="V680" s="1"/>
      <c r="W680" s="1"/>
      <c r="X680" s="1"/>
      <c r="Y680" s="1"/>
      <c r="Z680" s="1"/>
    </row>
    <row r="681" spans="1:26" ht="15.75" customHeight="1" x14ac:dyDescent="0.4">
      <c r="A681" s="1"/>
      <c r="B681" s="1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34"/>
      <c r="S681" s="2"/>
      <c r="T681" s="2"/>
      <c r="U681" s="1"/>
      <c r="V681" s="1"/>
      <c r="W681" s="1"/>
      <c r="X681" s="1"/>
      <c r="Y681" s="1"/>
      <c r="Z681" s="1"/>
    </row>
    <row r="682" spans="1:26" ht="15.75" customHeight="1" x14ac:dyDescent="0.4">
      <c r="A682" s="1"/>
      <c r="B682" s="1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34"/>
      <c r="S682" s="2"/>
      <c r="T682" s="2"/>
      <c r="U682" s="1"/>
      <c r="V682" s="1"/>
      <c r="W682" s="1"/>
      <c r="X682" s="1"/>
      <c r="Y682" s="1"/>
      <c r="Z682" s="1"/>
    </row>
    <row r="683" spans="1:26" ht="15.75" customHeight="1" x14ac:dyDescent="0.4">
      <c r="A683" s="1"/>
      <c r="B683" s="1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34"/>
      <c r="S683" s="2"/>
      <c r="T683" s="2"/>
      <c r="U683" s="1"/>
      <c r="V683" s="1"/>
      <c r="W683" s="1"/>
      <c r="X683" s="1"/>
      <c r="Y683" s="1"/>
      <c r="Z683" s="1"/>
    </row>
    <row r="684" spans="1:26" ht="15.75" customHeight="1" x14ac:dyDescent="0.4">
      <c r="A684" s="1"/>
      <c r="B684" s="1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34"/>
      <c r="S684" s="2"/>
      <c r="T684" s="2"/>
      <c r="U684" s="1"/>
      <c r="V684" s="1"/>
      <c r="W684" s="1"/>
      <c r="X684" s="1"/>
      <c r="Y684" s="1"/>
      <c r="Z684" s="1"/>
    </row>
    <row r="685" spans="1:26" ht="15.75" customHeight="1" x14ac:dyDescent="0.4">
      <c r="A685" s="1"/>
      <c r="B685" s="1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34"/>
      <c r="S685" s="2"/>
      <c r="T685" s="2"/>
      <c r="U685" s="1"/>
      <c r="V685" s="1"/>
      <c r="W685" s="1"/>
      <c r="X685" s="1"/>
      <c r="Y685" s="1"/>
      <c r="Z685" s="1"/>
    </row>
    <row r="686" spans="1:26" ht="15.75" customHeight="1" x14ac:dyDescent="0.4">
      <c r="A686" s="1"/>
      <c r="B686" s="1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34"/>
      <c r="S686" s="2"/>
      <c r="T686" s="2"/>
      <c r="U686" s="1"/>
      <c r="V686" s="1"/>
      <c r="W686" s="1"/>
      <c r="X686" s="1"/>
      <c r="Y686" s="1"/>
      <c r="Z686" s="1"/>
    </row>
    <row r="687" spans="1:26" ht="15.75" customHeight="1" x14ac:dyDescent="0.4">
      <c r="A687" s="1"/>
      <c r="B687" s="1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34"/>
      <c r="S687" s="2"/>
      <c r="T687" s="2"/>
      <c r="U687" s="1"/>
      <c r="V687" s="1"/>
      <c r="W687" s="1"/>
      <c r="X687" s="1"/>
      <c r="Y687" s="1"/>
      <c r="Z687" s="1"/>
    </row>
    <row r="688" spans="1:26" ht="15.75" customHeight="1" x14ac:dyDescent="0.4">
      <c r="A688" s="1"/>
      <c r="B688" s="1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34"/>
      <c r="S688" s="2"/>
      <c r="T688" s="2"/>
      <c r="U688" s="1"/>
      <c r="V688" s="1"/>
      <c r="W688" s="1"/>
      <c r="X688" s="1"/>
      <c r="Y688" s="1"/>
      <c r="Z688" s="1"/>
    </row>
    <row r="689" spans="1:26" ht="15.75" customHeight="1" x14ac:dyDescent="0.4">
      <c r="A689" s="1"/>
      <c r="B689" s="1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34"/>
      <c r="S689" s="2"/>
      <c r="T689" s="2"/>
      <c r="U689" s="1"/>
      <c r="V689" s="1"/>
      <c r="W689" s="1"/>
      <c r="X689" s="1"/>
      <c r="Y689" s="1"/>
      <c r="Z689" s="1"/>
    </row>
    <row r="690" spans="1:26" ht="15.75" customHeight="1" x14ac:dyDescent="0.4">
      <c r="A690" s="1"/>
      <c r="B690" s="1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34"/>
      <c r="S690" s="2"/>
      <c r="T690" s="2"/>
      <c r="U690" s="1"/>
      <c r="V690" s="1"/>
      <c r="W690" s="1"/>
      <c r="X690" s="1"/>
      <c r="Y690" s="1"/>
      <c r="Z690" s="1"/>
    </row>
    <row r="691" spans="1:26" ht="15.75" customHeight="1" x14ac:dyDescent="0.4">
      <c r="A691" s="1"/>
      <c r="B691" s="1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34"/>
      <c r="S691" s="2"/>
      <c r="T691" s="2"/>
      <c r="U691" s="1"/>
      <c r="V691" s="1"/>
      <c r="W691" s="1"/>
      <c r="X691" s="1"/>
      <c r="Y691" s="1"/>
      <c r="Z691" s="1"/>
    </row>
    <row r="692" spans="1:26" ht="15.75" customHeight="1" x14ac:dyDescent="0.4">
      <c r="A692" s="1"/>
      <c r="B692" s="1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34"/>
      <c r="S692" s="2"/>
      <c r="T692" s="2"/>
      <c r="U692" s="1"/>
      <c r="V692" s="1"/>
      <c r="W692" s="1"/>
      <c r="X692" s="1"/>
      <c r="Y692" s="1"/>
      <c r="Z692" s="1"/>
    </row>
    <row r="693" spans="1:26" ht="15.75" customHeight="1" x14ac:dyDescent="0.4">
      <c r="A693" s="1"/>
      <c r="B693" s="1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34"/>
      <c r="S693" s="2"/>
      <c r="T693" s="2"/>
      <c r="U693" s="1"/>
      <c r="V693" s="1"/>
      <c r="W693" s="1"/>
      <c r="X693" s="1"/>
      <c r="Y693" s="1"/>
      <c r="Z693" s="1"/>
    </row>
    <row r="694" spans="1:26" ht="15.75" customHeight="1" x14ac:dyDescent="0.4">
      <c r="A694" s="1"/>
      <c r="B694" s="1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34"/>
      <c r="S694" s="2"/>
      <c r="T694" s="2"/>
      <c r="U694" s="1"/>
      <c r="V694" s="1"/>
      <c r="W694" s="1"/>
      <c r="X694" s="1"/>
      <c r="Y694" s="1"/>
      <c r="Z694" s="1"/>
    </row>
    <row r="695" spans="1:26" ht="15.75" customHeight="1" x14ac:dyDescent="0.4">
      <c r="A695" s="1"/>
      <c r="B695" s="1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34"/>
      <c r="S695" s="2"/>
      <c r="T695" s="2"/>
      <c r="U695" s="1"/>
      <c r="V695" s="1"/>
      <c r="W695" s="1"/>
      <c r="X695" s="1"/>
      <c r="Y695" s="1"/>
      <c r="Z695" s="1"/>
    </row>
    <row r="696" spans="1:26" ht="15.75" customHeight="1" x14ac:dyDescent="0.4">
      <c r="A696" s="1"/>
      <c r="B696" s="1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34"/>
      <c r="S696" s="2"/>
      <c r="T696" s="2"/>
      <c r="U696" s="1"/>
      <c r="V696" s="1"/>
      <c r="W696" s="1"/>
      <c r="X696" s="1"/>
      <c r="Y696" s="1"/>
      <c r="Z696" s="1"/>
    </row>
    <row r="697" spans="1:26" ht="15.75" customHeight="1" x14ac:dyDescent="0.4">
      <c r="A697" s="1"/>
      <c r="B697" s="1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34"/>
      <c r="S697" s="2"/>
      <c r="T697" s="2"/>
      <c r="U697" s="1"/>
      <c r="V697" s="1"/>
      <c r="W697" s="1"/>
      <c r="X697" s="1"/>
      <c r="Y697" s="1"/>
      <c r="Z697" s="1"/>
    </row>
    <row r="698" spans="1:26" ht="15.75" customHeight="1" x14ac:dyDescent="0.4">
      <c r="A698" s="1"/>
      <c r="B698" s="1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34"/>
      <c r="S698" s="2"/>
      <c r="T698" s="2"/>
      <c r="U698" s="1"/>
      <c r="V698" s="1"/>
      <c r="W698" s="1"/>
      <c r="X698" s="1"/>
      <c r="Y698" s="1"/>
      <c r="Z698" s="1"/>
    </row>
    <row r="699" spans="1:26" ht="15.75" customHeight="1" x14ac:dyDescent="0.4">
      <c r="A699" s="1"/>
      <c r="B699" s="1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34"/>
      <c r="S699" s="2"/>
      <c r="T699" s="2"/>
      <c r="U699" s="1"/>
      <c r="V699" s="1"/>
      <c r="W699" s="1"/>
      <c r="X699" s="1"/>
      <c r="Y699" s="1"/>
      <c r="Z699" s="1"/>
    </row>
    <row r="700" spans="1:26" ht="15.75" customHeight="1" x14ac:dyDescent="0.4">
      <c r="A700" s="1"/>
      <c r="B700" s="1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34"/>
      <c r="S700" s="2"/>
      <c r="T700" s="2"/>
      <c r="U700" s="1"/>
      <c r="V700" s="1"/>
      <c r="W700" s="1"/>
      <c r="X700" s="1"/>
      <c r="Y700" s="1"/>
      <c r="Z700" s="1"/>
    </row>
    <row r="701" spans="1:26" ht="15.75" customHeight="1" x14ac:dyDescent="0.4">
      <c r="A701" s="1"/>
      <c r="B701" s="1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34"/>
      <c r="S701" s="2"/>
      <c r="T701" s="2"/>
      <c r="U701" s="1"/>
      <c r="V701" s="1"/>
      <c r="W701" s="1"/>
      <c r="X701" s="1"/>
      <c r="Y701" s="1"/>
      <c r="Z701" s="1"/>
    </row>
    <row r="702" spans="1:26" ht="15.75" customHeight="1" x14ac:dyDescent="0.4">
      <c r="A702" s="1"/>
      <c r="B702" s="1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34"/>
      <c r="S702" s="2"/>
      <c r="T702" s="2"/>
      <c r="U702" s="1"/>
      <c r="V702" s="1"/>
      <c r="W702" s="1"/>
      <c r="X702" s="1"/>
      <c r="Y702" s="1"/>
      <c r="Z702" s="1"/>
    </row>
    <row r="703" spans="1:26" ht="15.75" customHeight="1" x14ac:dyDescent="0.4">
      <c r="A703" s="1"/>
      <c r="B703" s="1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34"/>
      <c r="S703" s="2"/>
      <c r="T703" s="2"/>
      <c r="U703" s="1"/>
      <c r="V703" s="1"/>
      <c r="W703" s="1"/>
      <c r="X703" s="1"/>
      <c r="Y703" s="1"/>
      <c r="Z703" s="1"/>
    </row>
    <row r="704" spans="1:26" ht="15.75" customHeight="1" x14ac:dyDescent="0.4">
      <c r="A704" s="1"/>
      <c r="B704" s="1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34"/>
      <c r="S704" s="2"/>
      <c r="T704" s="2"/>
      <c r="U704" s="1"/>
      <c r="V704" s="1"/>
      <c r="W704" s="1"/>
      <c r="X704" s="1"/>
      <c r="Y704" s="1"/>
      <c r="Z704" s="1"/>
    </row>
    <row r="705" spans="1:26" ht="15.75" customHeight="1" x14ac:dyDescent="0.4">
      <c r="A705" s="1"/>
      <c r="B705" s="1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34"/>
      <c r="S705" s="2"/>
      <c r="T705" s="2"/>
      <c r="U705" s="1"/>
      <c r="V705" s="1"/>
      <c r="W705" s="1"/>
      <c r="X705" s="1"/>
      <c r="Y705" s="1"/>
      <c r="Z705" s="1"/>
    </row>
    <row r="706" spans="1:26" ht="15.75" customHeight="1" x14ac:dyDescent="0.4">
      <c r="A706" s="1"/>
      <c r="B706" s="1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34"/>
      <c r="S706" s="2"/>
      <c r="T706" s="2"/>
      <c r="U706" s="1"/>
      <c r="V706" s="1"/>
      <c r="W706" s="1"/>
      <c r="X706" s="1"/>
      <c r="Y706" s="1"/>
      <c r="Z706" s="1"/>
    </row>
    <row r="707" spans="1:26" ht="15.75" customHeight="1" x14ac:dyDescent="0.4">
      <c r="A707" s="1"/>
      <c r="B707" s="1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34"/>
      <c r="S707" s="2"/>
      <c r="T707" s="2"/>
      <c r="U707" s="1"/>
      <c r="V707" s="1"/>
      <c r="W707" s="1"/>
      <c r="X707" s="1"/>
      <c r="Y707" s="1"/>
      <c r="Z707" s="1"/>
    </row>
    <row r="708" spans="1:26" ht="15.75" customHeight="1" x14ac:dyDescent="0.4">
      <c r="A708" s="1"/>
      <c r="B708" s="1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34"/>
      <c r="S708" s="2"/>
      <c r="T708" s="2"/>
      <c r="U708" s="1"/>
      <c r="V708" s="1"/>
      <c r="W708" s="1"/>
      <c r="X708" s="1"/>
      <c r="Y708" s="1"/>
      <c r="Z708" s="1"/>
    </row>
    <row r="709" spans="1:26" ht="15.75" customHeight="1" x14ac:dyDescent="0.4">
      <c r="A709" s="1"/>
      <c r="B709" s="1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34"/>
      <c r="S709" s="2"/>
      <c r="T709" s="2"/>
      <c r="U709" s="1"/>
      <c r="V709" s="1"/>
      <c r="W709" s="1"/>
      <c r="X709" s="1"/>
      <c r="Y709" s="1"/>
      <c r="Z709" s="1"/>
    </row>
    <row r="710" spans="1:26" ht="15.75" customHeight="1" x14ac:dyDescent="0.4">
      <c r="A710" s="1"/>
      <c r="B710" s="1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34"/>
      <c r="S710" s="2"/>
      <c r="T710" s="2"/>
      <c r="U710" s="1"/>
      <c r="V710" s="1"/>
      <c r="W710" s="1"/>
      <c r="X710" s="1"/>
      <c r="Y710" s="1"/>
      <c r="Z710" s="1"/>
    </row>
    <row r="711" spans="1:26" ht="15.75" customHeight="1" x14ac:dyDescent="0.4">
      <c r="A711" s="1"/>
      <c r="B711" s="1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34"/>
      <c r="S711" s="2"/>
      <c r="T711" s="2"/>
      <c r="U711" s="1"/>
      <c r="V711" s="1"/>
      <c r="W711" s="1"/>
      <c r="X711" s="1"/>
      <c r="Y711" s="1"/>
      <c r="Z711" s="1"/>
    </row>
    <row r="712" spans="1:26" ht="15.75" customHeight="1" x14ac:dyDescent="0.4">
      <c r="A712" s="1"/>
      <c r="B712" s="1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34"/>
      <c r="S712" s="2"/>
      <c r="T712" s="2"/>
      <c r="U712" s="1"/>
      <c r="V712" s="1"/>
      <c r="W712" s="1"/>
      <c r="X712" s="1"/>
      <c r="Y712" s="1"/>
      <c r="Z712" s="1"/>
    </row>
    <row r="713" spans="1:26" ht="15.75" customHeight="1" x14ac:dyDescent="0.4">
      <c r="A713" s="1"/>
      <c r="B713" s="1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34"/>
      <c r="S713" s="2"/>
      <c r="T713" s="2"/>
      <c r="U713" s="1"/>
      <c r="V713" s="1"/>
      <c r="W713" s="1"/>
      <c r="X713" s="1"/>
      <c r="Y713" s="1"/>
      <c r="Z713" s="1"/>
    </row>
    <row r="714" spans="1:26" ht="15.75" customHeight="1" x14ac:dyDescent="0.4">
      <c r="A714" s="1"/>
      <c r="B714" s="1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34"/>
      <c r="S714" s="2"/>
      <c r="T714" s="2"/>
      <c r="U714" s="1"/>
      <c r="V714" s="1"/>
      <c r="W714" s="1"/>
      <c r="X714" s="1"/>
      <c r="Y714" s="1"/>
      <c r="Z714" s="1"/>
    </row>
    <row r="715" spans="1:26" ht="15.75" customHeight="1" x14ac:dyDescent="0.4">
      <c r="A715" s="1"/>
      <c r="B715" s="1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34"/>
      <c r="S715" s="2"/>
      <c r="T715" s="2"/>
      <c r="U715" s="1"/>
      <c r="V715" s="1"/>
      <c r="W715" s="1"/>
      <c r="X715" s="1"/>
      <c r="Y715" s="1"/>
      <c r="Z715" s="1"/>
    </row>
    <row r="716" spans="1:26" ht="15.75" customHeight="1" x14ac:dyDescent="0.4">
      <c r="A716" s="1"/>
      <c r="B716" s="1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34"/>
      <c r="S716" s="2"/>
      <c r="T716" s="2"/>
      <c r="U716" s="1"/>
      <c r="V716" s="1"/>
      <c r="W716" s="1"/>
      <c r="X716" s="1"/>
      <c r="Y716" s="1"/>
      <c r="Z716" s="1"/>
    </row>
    <row r="717" spans="1:26" ht="15.75" customHeight="1" x14ac:dyDescent="0.4">
      <c r="A717" s="1"/>
      <c r="B717" s="1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34"/>
      <c r="S717" s="2"/>
      <c r="T717" s="2"/>
      <c r="U717" s="1"/>
      <c r="V717" s="1"/>
      <c r="W717" s="1"/>
      <c r="X717" s="1"/>
      <c r="Y717" s="1"/>
      <c r="Z717" s="1"/>
    </row>
    <row r="718" spans="1:26" ht="15.75" customHeight="1" x14ac:dyDescent="0.4">
      <c r="A718" s="1"/>
      <c r="B718" s="1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34"/>
      <c r="S718" s="2"/>
      <c r="T718" s="2"/>
      <c r="U718" s="1"/>
      <c r="V718" s="1"/>
      <c r="W718" s="1"/>
      <c r="X718" s="1"/>
      <c r="Y718" s="1"/>
      <c r="Z718" s="1"/>
    </row>
    <row r="719" spans="1:26" ht="15.75" customHeight="1" x14ac:dyDescent="0.4">
      <c r="A719" s="1"/>
      <c r="B719" s="1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34"/>
      <c r="S719" s="2"/>
      <c r="T719" s="2"/>
      <c r="U719" s="1"/>
      <c r="V719" s="1"/>
      <c r="W719" s="1"/>
      <c r="X719" s="1"/>
      <c r="Y719" s="1"/>
      <c r="Z719" s="1"/>
    </row>
    <row r="720" spans="1:26" ht="15.75" customHeight="1" x14ac:dyDescent="0.4">
      <c r="A720" s="1"/>
      <c r="B720" s="1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34"/>
      <c r="S720" s="2"/>
      <c r="T720" s="2"/>
      <c r="U720" s="1"/>
      <c r="V720" s="1"/>
      <c r="W720" s="1"/>
      <c r="X720" s="1"/>
      <c r="Y720" s="1"/>
      <c r="Z720" s="1"/>
    </row>
    <row r="721" spans="1:26" ht="15.75" customHeight="1" x14ac:dyDescent="0.4">
      <c r="A721" s="1"/>
      <c r="B721" s="1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34"/>
      <c r="S721" s="2"/>
      <c r="T721" s="2"/>
      <c r="U721" s="1"/>
      <c r="V721" s="1"/>
      <c r="W721" s="1"/>
      <c r="X721" s="1"/>
      <c r="Y721" s="1"/>
      <c r="Z721" s="1"/>
    </row>
    <row r="722" spans="1:26" ht="15.75" customHeight="1" x14ac:dyDescent="0.4">
      <c r="A722" s="1"/>
      <c r="B722" s="1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34"/>
      <c r="S722" s="2"/>
      <c r="T722" s="2"/>
      <c r="U722" s="1"/>
      <c r="V722" s="1"/>
      <c r="W722" s="1"/>
      <c r="X722" s="1"/>
      <c r="Y722" s="1"/>
      <c r="Z722" s="1"/>
    </row>
    <row r="723" spans="1:26" ht="15.75" customHeight="1" x14ac:dyDescent="0.4">
      <c r="A723" s="1"/>
      <c r="B723" s="1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34"/>
      <c r="S723" s="2"/>
      <c r="T723" s="2"/>
      <c r="U723" s="1"/>
      <c r="V723" s="1"/>
      <c r="W723" s="1"/>
      <c r="X723" s="1"/>
      <c r="Y723" s="1"/>
      <c r="Z723" s="1"/>
    </row>
    <row r="724" spans="1:26" ht="15.75" customHeight="1" x14ac:dyDescent="0.4">
      <c r="A724" s="1"/>
      <c r="B724" s="1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34"/>
      <c r="S724" s="2"/>
      <c r="T724" s="2"/>
      <c r="U724" s="1"/>
      <c r="V724" s="1"/>
      <c r="W724" s="1"/>
      <c r="X724" s="1"/>
      <c r="Y724" s="1"/>
      <c r="Z724" s="1"/>
    </row>
    <row r="725" spans="1:26" ht="15.75" customHeight="1" x14ac:dyDescent="0.4">
      <c r="A725" s="1"/>
      <c r="B725" s="1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34"/>
      <c r="S725" s="2"/>
      <c r="T725" s="2"/>
      <c r="U725" s="1"/>
      <c r="V725" s="1"/>
      <c r="W725" s="1"/>
      <c r="X725" s="1"/>
      <c r="Y725" s="1"/>
      <c r="Z725" s="1"/>
    </row>
    <row r="726" spans="1:26" ht="15.75" customHeight="1" x14ac:dyDescent="0.4">
      <c r="A726" s="1"/>
      <c r="B726" s="1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34"/>
      <c r="S726" s="2"/>
      <c r="T726" s="2"/>
      <c r="U726" s="1"/>
      <c r="V726" s="1"/>
      <c r="W726" s="1"/>
      <c r="X726" s="1"/>
      <c r="Y726" s="1"/>
      <c r="Z726" s="1"/>
    </row>
    <row r="727" spans="1:26" ht="15.75" customHeight="1" x14ac:dyDescent="0.4">
      <c r="A727" s="1"/>
      <c r="B727" s="1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34"/>
      <c r="S727" s="2"/>
      <c r="T727" s="2"/>
      <c r="U727" s="1"/>
      <c r="V727" s="1"/>
      <c r="W727" s="1"/>
      <c r="X727" s="1"/>
      <c r="Y727" s="1"/>
      <c r="Z727" s="1"/>
    </row>
    <row r="728" spans="1:26" ht="15.75" customHeight="1" x14ac:dyDescent="0.4">
      <c r="A728" s="1"/>
      <c r="B728" s="1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34"/>
      <c r="S728" s="2"/>
      <c r="T728" s="2"/>
      <c r="U728" s="1"/>
      <c r="V728" s="1"/>
      <c r="W728" s="1"/>
      <c r="X728" s="1"/>
      <c r="Y728" s="1"/>
      <c r="Z728" s="1"/>
    </row>
    <row r="729" spans="1:26" ht="15.75" customHeight="1" x14ac:dyDescent="0.4">
      <c r="A729" s="1"/>
      <c r="B729" s="1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34"/>
      <c r="S729" s="2"/>
      <c r="T729" s="2"/>
      <c r="U729" s="1"/>
      <c r="V729" s="1"/>
      <c r="W729" s="1"/>
      <c r="X729" s="1"/>
      <c r="Y729" s="1"/>
      <c r="Z729" s="1"/>
    </row>
    <row r="730" spans="1:26" ht="15.75" customHeight="1" x14ac:dyDescent="0.4">
      <c r="A730" s="1"/>
      <c r="B730" s="1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34"/>
      <c r="S730" s="2"/>
      <c r="T730" s="2"/>
      <c r="U730" s="1"/>
      <c r="V730" s="1"/>
      <c r="W730" s="1"/>
      <c r="X730" s="1"/>
      <c r="Y730" s="1"/>
      <c r="Z730" s="1"/>
    </row>
    <row r="731" spans="1:26" ht="15.75" customHeight="1" x14ac:dyDescent="0.4">
      <c r="A731" s="1"/>
      <c r="B731" s="1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34"/>
      <c r="S731" s="2"/>
      <c r="T731" s="2"/>
      <c r="U731" s="1"/>
      <c r="V731" s="1"/>
      <c r="W731" s="1"/>
      <c r="X731" s="1"/>
      <c r="Y731" s="1"/>
      <c r="Z731" s="1"/>
    </row>
    <row r="732" spans="1:26" ht="15.75" customHeight="1" x14ac:dyDescent="0.4">
      <c r="A732" s="1"/>
      <c r="B732" s="1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34"/>
      <c r="S732" s="2"/>
      <c r="T732" s="2"/>
      <c r="U732" s="1"/>
      <c r="V732" s="1"/>
      <c r="W732" s="1"/>
      <c r="X732" s="1"/>
      <c r="Y732" s="1"/>
      <c r="Z732" s="1"/>
    </row>
    <row r="733" spans="1:26" ht="15.75" customHeight="1" x14ac:dyDescent="0.4">
      <c r="A733" s="1"/>
      <c r="B733" s="1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34"/>
      <c r="S733" s="2"/>
      <c r="T733" s="2"/>
      <c r="U733" s="1"/>
      <c r="V733" s="1"/>
      <c r="W733" s="1"/>
      <c r="X733" s="1"/>
      <c r="Y733" s="1"/>
      <c r="Z733" s="1"/>
    </row>
    <row r="734" spans="1:26" ht="15.75" customHeight="1" x14ac:dyDescent="0.4">
      <c r="A734" s="1"/>
      <c r="B734" s="1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34"/>
      <c r="S734" s="2"/>
      <c r="T734" s="2"/>
      <c r="U734" s="1"/>
      <c r="V734" s="1"/>
      <c r="W734" s="1"/>
      <c r="X734" s="1"/>
      <c r="Y734" s="1"/>
      <c r="Z734" s="1"/>
    </row>
    <row r="735" spans="1:26" ht="15.75" customHeight="1" x14ac:dyDescent="0.4">
      <c r="A735" s="1"/>
      <c r="B735" s="1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34"/>
      <c r="S735" s="2"/>
      <c r="T735" s="2"/>
      <c r="U735" s="1"/>
      <c r="V735" s="1"/>
      <c r="W735" s="1"/>
      <c r="X735" s="1"/>
      <c r="Y735" s="1"/>
      <c r="Z735" s="1"/>
    </row>
    <row r="736" spans="1:26" ht="15.75" customHeight="1" x14ac:dyDescent="0.4">
      <c r="A736" s="1"/>
      <c r="B736" s="1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34"/>
      <c r="S736" s="2"/>
      <c r="T736" s="2"/>
      <c r="U736" s="1"/>
      <c r="V736" s="1"/>
      <c r="W736" s="1"/>
      <c r="X736" s="1"/>
      <c r="Y736" s="1"/>
      <c r="Z736" s="1"/>
    </row>
    <row r="737" spans="1:26" ht="15.75" customHeight="1" x14ac:dyDescent="0.4">
      <c r="A737" s="1"/>
      <c r="B737" s="1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34"/>
      <c r="S737" s="2"/>
      <c r="T737" s="2"/>
      <c r="U737" s="1"/>
      <c r="V737" s="1"/>
      <c r="W737" s="1"/>
      <c r="X737" s="1"/>
      <c r="Y737" s="1"/>
      <c r="Z737" s="1"/>
    </row>
    <row r="738" spans="1:26" ht="15.75" customHeight="1" x14ac:dyDescent="0.4">
      <c r="A738" s="1"/>
      <c r="B738" s="1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34"/>
      <c r="S738" s="2"/>
      <c r="T738" s="2"/>
      <c r="U738" s="1"/>
      <c r="V738" s="1"/>
      <c r="W738" s="1"/>
      <c r="X738" s="1"/>
      <c r="Y738" s="1"/>
      <c r="Z738" s="1"/>
    </row>
    <row r="739" spans="1:26" ht="15.75" customHeight="1" x14ac:dyDescent="0.4">
      <c r="A739" s="1"/>
      <c r="B739" s="1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34"/>
      <c r="S739" s="2"/>
      <c r="T739" s="2"/>
      <c r="U739" s="1"/>
      <c r="V739" s="1"/>
      <c r="W739" s="1"/>
      <c r="X739" s="1"/>
      <c r="Y739" s="1"/>
      <c r="Z739" s="1"/>
    </row>
    <row r="740" spans="1:26" ht="15.75" customHeight="1" x14ac:dyDescent="0.4">
      <c r="A740" s="1"/>
      <c r="B740" s="1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34"/>
      <c r="S740" s="2"/>
      <c r="T740" s="2"/>
      <c r="U740" s="1"/>
      <c r="V740" s="1"/>
      <c r="W740" s="1"/>
      <c r="X740" s="1"/>
      <c r="Y740" s="1"/>
      <c r="Z740" s="1"/>
    </row>
    <row r="741" spans="1:26" ht="15.75" customHeight="1" x14ac:dyDescent="0.4">
      <c r="A741" s="1"/>
      <c r="B741" s="1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34"/>
      <c r="S741" s="2"/>
      <c r="T741" s="2"/>
      <c r="U741" s="1"/>
      <c r="V741" s="1"/>
      <c r="W741" s="1"/>
      <c r="X741" s="1"/>
      <c r="Y741" s="1"/>
      <c r="Z741" s="1"/>
    </row>
    <row r="742" spans="1:26" ht="15.75" customHeight="1" x14ac:dyDescent="0.4">
      <c r="A742" s="1"/>
      <c r="B742" s="1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34"/>
      <c r="S742" s="2"/>
      <c r="T742" s="2"/>
      <c r="U742" s="1"/>
      <c r="V742" s="1"/>
      <c r="W742" s="1"/>
      <c r="X742" s="1"/>
      <c r="Y742" s="1"/>
      <c r="Z742" s="1"/>
    </row>
    <row r="743" spans="1:26" ht="15.75" customHeight="1" x14ac:dyDescent="0.4">
      <c r="A743" s="1"/>
      <c r="B743" s="1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34"/>
      <c r="S743" s="2"/>
      <c r="T743" s="2"/>
      <c r="U743" s="1"/>
      <c r="V743" s="1"/>
      <c r="W743" s="1"/>
      <c r="X743" s="1"/>
      <c r="Y743" s="1"/>
      <c r="Z743" s="1"/>
    </row>
    <row r="744" spans="1:26" ht="15.75" customHeight="1" x14ac:dyDescent="0.4">
      <c r="A744" s="1"/>
      <c r="B744" s="1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34"/>
      <c r="S744" s="2"/>
      <c r="T744" s="2"/>
      <c r="U744" s="1"/>
      <c r="V744" s="1"/>
      <c r="W744" s="1"/>
      <c r="X744" s="1"/>
      <c r="Y744" s="1"/>
      <c r="Z744" s="1"/>
    </row>
    <row r="745" spans="1:26" ht="15.75" customHeight="1" x14ac:dyDescent="0.4">
      <c r="A745" s="1"/>
      <c r="B745" s="1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34"/>
      <c r="S745" s="2"/>
      <c r="T745" s="2"/>
      <c r="U745" s="1"/>
      <c r="V745" s="1"/>
      <c r="W745" s="1"/>
      <c r="X745" s="1"/>
      <c r="Y745" s="1"/>
      <c r="Z745" s="1"/>
    </row>
    <row r="746" spans="1:26" ht="15.75" customHeight="1" x14ac:dyDescent="0.4">
      <c r="A746" s="1"/>
      <c r="B746" s="1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34"/>
      <c r="S746" s="2"/>
      <c r="T746" s="2"/>
      <c r="U746" s="1"/>
      <c r="V746" s="1"/>
      <c r="W746" s="1"/>
      <c r="X746" s="1"/>
      <c r="Y746" s="1"/>
      <c r="Z746" s="1"/>
    </row>
    <row r="747" spans="1:26" ht="15.75" customHeight="1" x14ac:dyDescent="0.4">
      <c r="A747" s="1"/>
      <c r="B747" s="1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34"/>
      <c r="S747" s="2"/>
      <c r="T747" s="2"/>
      <c r="U747" s="1"/>
      <c r="V747" s="1"/>
      <c r="W747" s="1"/>
      <c r="X747" s="1"/>
      <c r="Y747" s="1"/>
      <c r="Z747" s="1"/>
    </row>
    <row r="748" spans="1:26" ht="15.75" customHeight="1" x14ac:dyDescent="0.4">
      <c r="A748" s="1"/>
      <c r="B748" s="1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34"/>
      <c r="S748" s="2"/>
      <c r="T748" s="2"/>
      <c r="U748" s="1"/>
      <c r="V748" s="1"/>
      <c r="W748" s="1"/>
      <c r="X748" s="1"/>
      <c r="Y748" s="1"/>
      <c r="Z748" s="1"/>
    </row>
    <row r="749" spans="1:26" ht="15.75" customHeight="1" x14ac:dyDescent="0.4">
      <c r="A749" s="1"/>
      <c r="B749" s="1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34"/>
      <c r="S749" s="2"/>
      <c r="T749" s="2"/>
      <c r="U749" s="1"/>
      <c r="V749" s="1"/>
      <c r="W749" s="1"/>
      <c r="X749" s="1"/>
      <c r="Y749" s="1"/>
      <c r="Z749" s="1"/>
    </row>
    <row r="750" spans="1:26" ht="15.75" customHeight="1" x14ac:dyDescent="0.4">
      <c r="A750" s="1"/>
      <c r="B750" s="1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34"/>
      <c r="S750" s="2"/>
      <c r="T750" s="2"/>
      <c r="U750" s="1"/>
      <c r="V750" s="1"/>
      <c r="W750" s="1"/>
      <c r="X750" s="1"/>
      <c r="Y750" s="1"/>
      <c r="Z750" s="1"/>
    </row>
    <row r="751" spans="1:26" ht="15.75" customHeight="1" x14ac:dyDescent="0.4">
      <c r="A751" s="1"/>
      <c r="B751" s="1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34"/>
      <c r="S751" s="2"/>
      <c r="T751" s="2"/>
      <c r="U751" s="1"/>
      <c r="V751" s="1"/>
      <c r="W751" s="1"/>
      <c r="X751" s="1"/>
      <c r="Y751" s="1"/>
      <c r="Z751" s="1"/>
    </row>
    <row r="752" spans="1:26" ht="15.75" customHeight="1" x14ac:dyDescent="0.4">
      <c r="A752" s="1"/>
      <c r="B752" s="1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34"/>
      <c r="S752" s="2"/>
      <c r="T752" s="2"/>
      <c r="U752" s="1"/>
      <c r="V752" s="1"/>
      <c r="W752" s="1"/>
      <c r="X752" s="1"/>
      <c r="Y752" s="1"/>
      <c r="Z752" s="1"/>
    </row>
    <row r="753" spans="1:26" ht="15.75" customHeight="1" x14ac:dyDescent="0.4">
      <c r="A753" s="1"/>
      <c r="B753" s="1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34"/>
      <c r="S753" s="2"/>
      <c r="T753" s="2"/>
      <c r="U753" s="1"/>
      <c r="V753" s="1"/>
      <c r="W753" s="1"/>
      <c r="X753" s="1"/>
      <c r="Y753" s="1"/>
      <c r="Z753" s="1"/>
    </row>
    <row r="754" spans="1:26" ht="15.75" customHeight="1" x14ac:dyDescent="0.4">
      <c r="A754" s="1"/>
      <c r="B754" s="1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34"/>
      <c r="S754" s="2"/>
      <c r="T754" s="2"/>
      <c r="U754" s="1"/>
      <c r="V754" s="1"/>
      <c r="W754" s="1"/>
      <c r="X754" s="1"/>
      <c r="Y754" s="1"/>
      <c r="Z754" s="1"/>
    </row>
    <row r="755" spans="1:26" ht="15.75" customHeight="1" x14ac:dyDescent="0.4">
      <c r="A755" s="1"/>
      <c r="B755" s="1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34"/>
      <c r="S755" s="2"/>
      <c r="T755" s="2"/>
      <c r="U755" s="1"/>
      <c r="V755" s="1"/>
      <c r="W755" s="1"/>
      <c r="X755" s="1"/>
      <c r="Y755" s="1"/>
      <c r="Z755" s="1"/>
    </row>
    <row r="756" spans="1:26" ht="15.75" customHeight="1" x14ac:dyDescent="0.4">
      <c r="A756" s="1"/>
      <c r="B756" s="1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34"/>
      <c r="S756" s="2"/>
      <c r="T756" s="2"/>
      <c r="U756" s="1"/>
      <c r="V756" s="1"/>
      <c r="W756" s="1"/>
      <c r="X756" s="1"/>
      <c r="Y756" s="1"/>
      <c r="Z756" s="1"/>
    </row>
    <row r="757" spans="1:26" ht="15.75" customHeight="1" x14ac:dyDescent="0.4">
      <c r="A757" s="1"/>
      <c r="B757" s="1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34"/>
      <c r="S757" s="2"/>
      <c r="T757" s="2"/>
      <c r="U757" s="1"/>
      <c r="V757" s="1"/>
      <c r="W757" s="1"/>
      <c r="X757" s="1"/>
      <c r="Y757" s="1"/>
      <c r="Z757" s="1"/>
    </row>
    <row r="758" spans="1:26" ht="15.75" customHeight="1" x14ac:dyDescent="0.4">
      <c r="A758" s="1"/>
      <c r="B758" s="1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34"/>
      <c r="S758" s="2"/>
      <c r="T758" s="2"/>
      <c r="U758" s="1"/>
      <c r="V758" s="1"/>
      <c r="W758" s="1"/>
      <c r="X758" s="1"/>
      <c r="Y758" s="1"/>
      <c r="Z758" s="1"/>
    </row>
    <row r="759" spans="1:26" ht="15.75" customHeight="1" x14ac:dyDescent="0.4">
      <c r="A759" s="1"/>
      <c r="B759" s="1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34"/>
      <c r="S759" s="2"/>
      <c r="T759" s="2"/>
      <c r="U759" s="1"/>
      <c r="V759" s="1"/>
      <c r="W759" s="1"/>
      <c r="X759" s="1"/>
      <c r="Y759" s="1"/>
      <c r="Z759" s="1"/>
    </row>
    <row r="760" spans="1:26" ht="15.75" customHeight="1" x14ac:dyDescent="0.4">
      <c r="A760" s="1"/>
      <c r="B760" s="1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34"/>
      <c r="S760" s="2"/>
      <c r="T760" s="2"/>
      <c r="U760" s="1"/>
      <c r="V760" s="1"/>
      <c r="W760" s="1"/>
      <c r="X760" s="1"/>
      <c r="Y760" s="1"/>
      <c r="Z760" s="1"/>
    </row>
    <row r="761" spans="1:26" ht="15.75" customHeight="1" x14ac:dyDescent="0.4">
      <c r="A761" s="1"/>
      <c r="B761" s="1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34"/>
      <c r="S761" s="2"/>
      <c r="T761" s="2"/>
      <c r="U761" s="1"/>
      <c r="V761" s="1"/>
      <c r="W761" s="1"/>
      <c r="X761" s="1"/>
      <c r="Y761" s="1"/>
      <c r="Z761" s="1"/>
    </row>
    <row r="762" spans="1:26" ht="15.75" customHeight="1" x14ac:dyDescent="0.4">
      <c r="A762" s="1"/>
      <c r="B762" s="1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34"/>
      <c r="S762" s="2"/>
      <c r="T762" s="2"/>
      <c r="U762" s="1"/>
      <c r="V762" s="1"/>
      <c r="W762" s="1"/>
      <c r="X762" s="1"/>
      <c r="Y762" s="1"/>
      <c r="Z762" s="1"/>
    </row>
    <row r="763" spans="1:26" ht="15.75" customHeight="1" x14ac:dyDescent="0.4">
      <c r="A763" s="1"/>
      <c r="B763" s="1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34"/>
      <c r="S763" s="2"/>
      <c r="T763" s="2"/>
      <c r="U763" s="1"/>
      <c r="V763" s="1"/>
      <c r="W763" s="1"/>
      <c r="X763" s="1"/>
      <c r="Y763" s="1"/>
      <c r="Z763" s="1"/>
    </row>
    <row r="764" spans="1:26" ht="15.75" customHeight="1" x14ac:dyDescent="0.4">
      <c r="A764" s="1"/>
      <c r="B764" s="1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34"/>
      <c r="S764" s="2"/>
      <c r="T764" s="2"/>
      <c r="U764" s="1"/>
      <c r="V764" s="1"/>
      <c r="W764" s="1"/>
      <c r="X764" s="1"/>
      <c r="Y764" s="1"/>
      <c r="Z764" s="1"/>
    </row>
    <row r="765" spans="1:26" ht="15.75" customHeight="1" x14ac:dyDescent="0.4">
      <c r="A765" s="1"/>
      <c r="B765" s="1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34"/>
      <c r="S765" s="2"/>
      <c r="T765" s="2"/>
      <c r="U765" s="1"/>
      <c r="V765" s="1"/>
      <c r="W765" s="1"/>
      <c r="X765" s="1"/>
      <c r="Y765" s="1"/>
      <c r="Z765" s="1"/>
    </row>
    <row r="766" spans="1:26" ht="15.75" customHeight="1" x14ac:dyDescent="0.4">
      <c r="A766" s="1"/>
      <c r="B766" s="1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34"/>
      <c r="S766" s="2"/>
      <c r="T766" s="2"/>
      <c r="U766" s="1"/>
      <c r="V766" s="1"/>
      <c r="W766" s="1"/>
      <c r="X766" s="1"/>
      <c r="Y766" s="1"/>
      <c r="Z766" s="1"/>
    </row>
    <row r="767" spans="1:26" ht="15.75" customHeight="1" x14ac:dyDescent="0.4">
      <c r="A767" s="1"/>
      <c r="B767" s="1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34"/>
      <c r="S767" s="2"/>
      <c r="T767" s="2"/>
      <c r="U767" s="1"/>
      <c r="V767" s="1"/>
      <c r="W767" s="1"/>
      <c r="X767" s="1"/>
      <c r="Y767" s="1"/>
      <c r="Z767" s="1"/>
    </row>
    <row r="768" spans="1:26" ht="15.75" customHeight="1" x14ac:dyDescent="0.4">
      <c r="A768" s="1"/>
      <c r="B768" s="1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34"/>
      <c r="S768" s="2"/>
      <c r="T768" s="2"/>
      <c r="U768" s="1"/>
      <c r="V768" s="1"/>
      <c r="W768" s="1"/>
      <c r="X768" s="1"/>
      <c r="Y768" s="1"/>
      <c r="Z768" s="1"/>
    </row>
    <row r="769" spans="1:26" ht="15.75" customHeight="1" x14ac:dyDescent="0.4">
      <c r="A769" s="1"/>
      <c r="B769" s="1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34"/>
      <c r="S769" s="2"/>
      <c r="T769" s="2"/>
      <c r="U769" s="1"/>
      <c r="V769" s="1"/>
      <c r="W769" s="1"/>
      <c r="X769" s="1"/>
      <c r="Y769" s="1"/>
      <c r="Z769" s="1"/>
    </row>
    <row r="770" spans="1:26" ht="15.75" customHeight="1" x14ac:dyDescent="0.4">
      <c r="A770" s="1"/>
      <c r="B770" s="1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34"/>
      <c r="S770" s="2"/>
      <c r="T770" s="2"/>
      <c r="U770" s="1"/>
      <c r="V770" s="1"/>
      <c r="W770" s="1"/>
      <c r="X770" s="1"/>
      <c r="Y770" s="1"/>
      <c r="Z770" s="1"/>
    </row>
    <row r="771" spans="1:26" ht="15.75" customHeight="1" x14ac:dyDescent="0.4">
      <c r="A771" s="1"/>
      <c r="B771" s="1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34"/>
      <c r="S771" s="2"/>
      <c r="T771" s="2"/>
      <c r="U771" s="1"/>
      <c r="V771" s="1"/>
      <c r="W771" s="1"/>
      <c r="X771" s="1"/>
      <c r="Y771" s="1"/>
      <c r="Z771" s="1"/>
    </row>
    <row r="772" spans="1:26" ht="15.75" customHeight="1" x14ac:dyDescent="0.4">
      <c r="A772" s="1"/>
      <c r="B772" s="1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34"/>
      <c r="S772" s="2"/>
      <c r="T772" s="2"/>
      <c r="U772" s="1"/>
      <c r="V772" s="1"/>
      <c r="W772" s="1"/>
      <c r="X772" s="1"/>
      <c r="Y772" s="1"/>
      <c r="Z772" s="1"/>
    </row>
    <row r="773" spans="1:26" ht="15.75" customHeight="1" x14ac:dyDescent="0.4">
      <c r="A773" s="1"/>
      <c r="B773" s="1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34"/>
      <c r="S773" s="2"/>
      <c r="T773" s="2"/>
      <c r="U773" s="1"/>
      <c r="V773" s="1"/>
      <c r="W773" s="1"/>
      <c r="X773" s="1"/>
      <c r="Y773" s="1"/>
      <c r="Z773" s="1"/>
    </row>
    <row r="774" spans="1:26" ht="15.75" customHeight="1" x14ac:dyDescent="0.4">
      <c r="A774" s="1"/>
      <c r="B774" s="1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34"/>
      <c r="S774" s="2"/>
      <c r="T774" s="2"/>
      <c r="U774" s="1"/>
      <c r="V774" s="1"/>
      <c r="W774" s="1"/>
      <c r="X774" s="1"/>
      <c r="Y774" s="1"/>
      <c r="Z774" s="1"/>
    </row>
    <row r="775" spans="1:26" ht="15.75" customHeight="1" x14ac:dyDescent="0.4">
      <c r="A775" s="1"/>
      <c r="B775" s="1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34"/>
      <c r="S775" s="2"/>
      <c r="T775" s="2"/>
      <c r="U775" s="1"/>
      <c r="V775" s="1"/>
      <c r="W775" s="1"/>
      <c r="X775" s="1"/>
      <c r="Y775" s="1"/>
      <c r="Z775" s="1"/>
    </row>
    <row r="776" spans="1:26" ht="15.75" customHeight="1" x14ac:dyDescent="0.4">
      <c r="A776" s="1"/>
      <c r="B776" s="1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34"/>
      <c r="S776" s="2"/>
      <c r="T776" s="2"/>
      <c r="U776" s="1"/>
      <c r="V776" s="1"/>
      <c r="W776" s="1"/>
      <c r="X776" s="1"/>
      <c r="Y776" s="1"/>
      <c r="Z776" s="1"/>
    </row>
    <row r="777" spans="1:26" ht="15.75" customHeight="1" x14ac:dyDescent="0.4">
      <c r="A777" s="1"/>
      <c r="B777" s="1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34"/>
      <c r="S777" s="2"/>
      <c r="T777" s="2"/>
      <c r="U777" s="1"/>
      <c r="V777" s="1"/>
      <c r="W777" s="1"/>
      <c r="X777" s="1"/>
      <c r="Y777" s="1"/>
      <c r="Z777" s="1"/>
    </row>
    <row r="778" spans="1:26" ht="15.75" customHeight="1" x14ac:dyDescent="0.4">
      <c r="A778" s="1"/>
      <c r="B778" s="1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34"/>
      <c r="S778" s="2"/>
      <c r="T778" s="2"/>
      <c r="U778" s="1"/>
      <c r="V778" s="1"/>
      <c r="W778" s="1"/>
      <c r="X778" s="1"/>
      <c r="Y778" s="1"/>
      <c r="Z778" s="1"/>
    </row>
    <row r="779" spans="1:26" ht="15.75" customHeight="1" x14ac:dyDescent="0.4">
      <c r="A779" s="1"/>
      <c r="B779" s="1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34"/>
      <c r="S779" s="2"/>
      <c r="T779" s="2"/>
      <c r="U779" s="1"/>
      <c r="V779" s="1"/>
      <c r="W779" s="1"/>
      <c r="X779" s="1"/>
      <c r="Y779" s="1"/>
      <c r="Z779" s="1"/>
    </row>
    <row r="780" spans="1:26" ht="15.75" customHeight="1" x14ac:dyDescent="0.4">
      <c r="A780" s="1"/>
      <c r="B780" s="1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34"/>
      <c r="S780" s="2"/>
      <c r="T780" s="2"/>
      <c r="U780" s="1"/>
      <c r="V780" s="1"/>
      <c r="W780" s="1"/>
      <c r="X780" s="1"/>
      <c r="Y780" s="1"/>
      <c r="Z780" s="1"/>
    </row>
    <row r="781" spans="1:26" ht="15.75" customHeight="1" x14ac:dyDescent="0.4">
      <c r="A781" s="1"/>
      <c r="B781" s="1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34"/>
      <c r="S781" s="2"/>
      <c r="T781" s="2"/>
      <c r="U781" s="1"/>
      <c r="V781" s="1"/>
      <c r="W781" s="1"/>
      <c r="X781" s="1"/>
      <c r="Y781" s="1"/>
      <c r="Z781" s="1"/>
    </row>
    <row r="782" spans="1:26" ht="15.75" customHeight="1" x14ac:dyDescent="0.4">
      <c r="A782" s="1"/>
      <c r="B782" s="1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34"/>
      <c r="S782" s="2"/>
      <c r="T782" s="2"/>
      <c r="U782" s="1"/>
      <c r="V782" s="1"/>
      <c r="W782" s="1"/>
      <c r="X782" s="1"/>
      <c r="Y782" s="1"/>
      <c r="Z782" s="1"/>
    </row>
    <row r="783" spans="1:26" ht="15.75" customHeight="1" x14ac:dyDescent="0.4">
      <c r="A783" s="1"/>
      <c r="B783" s="1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34"/>
      <c r="S783" s="2"/>
      <c r="T783" s="2"/>
      <c r="U783" s="1"/>
      <c r="V783" s="1"/>
      <c r="W783" s="1"/>
      <c r="X783" s="1"/>
      <c r="Y783" s="1"/>
      <c r="Z783" s="1"/>
    </row>
    <row r="784" spans="1:26" ht="15.75" customHeight="1" x14ac:dyDescent="0.4">
      <c r="A784" s="1"/>
      <c r="B784" s="1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34"/>
      <c r="S784" s="2"/>
      <c r="T784" s="2"/>
      <c r="U784" s="1"/>
      <c r="V784" s="1"/>
      <c r="W784" s="1"/>
      <c r="X784" s="1"/>
      <c r="Y784" s="1"/>
      <c r="Z784" s="1"/>
    </row>
    <row r="785" spans="1:26" ht="15.75" customHeight="1" x14ac:dyDescent="0.4">
      <c r="A785" s="1"/>
      <c r="B785" s="1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34"/>
      <c r="S785" s="2"/>
      <c r="T785" s="2"/>
      <c r="U785" s="1"/>
      <c r="V785" s="1"/>
      <c r="W785" s="1"/>
      <c r="X785" s="1"/>
      <c r="Y785" s="1"/>
      <c r="Z785" s="1"/>
    </row>
    <row r="786" spans="1:26" ht="15.75" customHeight="1" x14ac:dyDescent="0.4">
      <c r="A786" s="1"/>
      <c r="B786" s="1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34"/>
      <c r="S786" s="2"/>
      <c r="T786" s="2"/>
      <c r="U786" s="1"/>
      <c r="V786" s="1"/>
      <c r="W786" s="1"/>
      <c r="X786" s="1"/>
      <c r="Y786" s="1"/>
      <c r="Z786" s="1"/>
    </row>
    <row r="787" spans="1:26" ht="15.75" customHeight="1" x14ac:dyDescent="0.4">
      <c r="A787" s="1"/>
      <c r="B787" s="1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34"/>
      <c r="S787" s="2"/>
      <c r="T787" s="2"/>
      <c r="U787" s="1"/>
      <c r="V787" s="1"/>
      <c r="W787" s="1"/>
      <c r="X787" s="1"/>
      <c r="Y787" s="1"/>
      <c r="Z787" s="1"/>
    </row>
    <row r="788" spans="1:26" ht="15.75" customHeight="1" x14ac:dyDescent="0.4">
      <c r="A788" s="1"/>
      <c r="B788" s="1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34"/>
      <c r="S788" s="2"/>
      <c r="T788" s="2"/>
      <c r="U788" s="1"/>
      <c r="V788" s="1"/>
      <c r="W788" s="1"/>
      <c r="X788" s="1"/>
      <c r="Y788" s="1"/>
      <c r="Z788" s="1"/>
    </row>
    <row r="789" spans="1:26" ht="15.75" customHeight="1" x14ac:dyDescent="0.4">
      <c r="A789" s="1"/>
      <c r="B789" s="1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34"/>
      <c r="S789" s="2"/>
      <c r="T789" s="2"/>
      <c r="U789" s="1"/>
      <c r="V789" s="1"/>
      <c r="W789" s="1"/>
      <c r="X789" s="1"/>
      <c r="Y789" s="1"/>
      <c r="Z789" s="1"/>
    </row>
    <row r="790" spans="1:26" ht="15.75" customHeight="1" x14ac:dyDescent="0.4">
      <c r="A790" s="1"/>
      <c r="B790" s="1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34"/>
      <c r="S790" s="2"/>
      <c r="T790" s="2"/>
      <c r="U790" s="1"/>
      <c r="V790" s="1"/>
      <c r="W790" s="1"/>
      <c r="X790" s="1"/>
      <c r="Y790" s="1"/>
      <c r="Z790" s="1"/>
    </row>
    <row r="791" spans="1:26" ht="15.75" customHeight="1" x14ac:dyDescent="0.4">
      <c r="A791" s="1"/>
      <c r="B791" s="1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34"/>
      <c r="S791" s="2"/>
      <c r="T791" s="2"/>
      <c r="U791" s="1"/>
      <c r="V791" s="1"/>
      <c r="W791" s="1"/>
      <c r="X791" s="1"/>
      <c r="Y791" s="1"/>
      <c r="Z791" s="1"/>
    </row>
    <row r="792" spans="1:26" ht="15.75" customHeight="1" x14ac:dyDescent="0.4">
      <c r="A792" s="1"/>
      <c r="B792" s="1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34"/>
      <c r="S792" s="2"/>
      <c r="T792" s="2"/>
      <c r="U792" s="1"/>
      <c r="V792" s="1"/>
      <c r="W792" s="1"/>
      <c r="X792" s="1"/>
      <c r="Y792" s="1"/>
      <c r="Z792" s="1"/>
    </row>
    <row r="793" spans="1:26" ht="15.75" customHeight="1" x14ac:dyDescent="0.4">
      <c r="A793" s="1"/>
      <c r="B793" s="1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34"/>
      <c r="S793" s="2"/>
      <c r="T793" s="2"/>
      <c r="U793" s="1"/>
      <c r="V793" s="1"/>
      <c r="W793" s="1"/>
      <c r="X793" s="1"/>
      <c r="Y793" s="1"/>
      <c r="Z793" s="1"/>
    </row>
    <row r="794" spans="1:26" ht="15.75" customHeight="1" x14ac:dyDescent="0.4">
      <c r="A794" s="1"/>
      <c r="B794" s="1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34"/>
      <c r="S794" s="2"/>
      <c r="T794" s="2"/>
      <c r="U794" s="1"/>
      <c r="V794" s="1"/>
      <c r="W794" s="1"/>
      <c r="X794" s="1"/>
      <c r="Y794" s="1"/>
      <c r="Z794" s="1"/>
    </row>
    <row r="795" spans="1:26" ht="15.75" customHeight="1" x14ac:dyDescent="0.4">
      <c r="A795" s="1"/>
      <c r="B795" s="1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34"/>
      <c r="S795" s="2"/>
      <c r="T795" s="2"/>
      <c r="U795" s="1"/>
      <c r="V795" s="1"/>
      <c r="W795" s="1"/>
      <c r="X795" s="1"/>
      <c r="Y795" s="1"/>
      <c r="Z795" s="1"/>
    </row>
    <row r="796" spans="1:26" ht="15.75" customHeight="1" x14ac:dyDescent="0.4">
      <c r="A796" s="1"/>
      <c r="B796" s="1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34"/>
      <c r="S796" s="2"/>
      <c r="T796" s="2"/>
      <c r="U796" s="1"/>
      <c r="V796" s="1"/>
      <c r="W796" s="1"/>
      <c r="X796" s="1"/>
      <c r="Y796" s="1"/>
      <c r="Z796" s="1"/>
    </row>
    <row r="797" spans="1:26" ht="15.75" customHeight="1" x14ac:dyDescent="0.4">
      <c r="A797" s="1"/>
      <c r="B797" s="1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34"/>
      <c r="S797" s="2"/>
      <c r="T797" s="2"/>
      <c r="U797" s="1"/>
      <c r="V797" s="1"/>
      <c r="W797" s="1"/>
      <c r="X797" s="1"/>
      <c r="Y797" s="1"/>
      <c r="Z797" s="1"/>
    </row>
    <row r="798" spans="1:26" ht="15.75" customHeight="1" x14ac:dyDescent="0.4">
      <c r="A798" s="1"/>
      <c r="B798" s="1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34"/>
      <c r="S798" s="2"/>
      <c r="T798" s="2"/>
      <c r="U798" s="1"/>
      <c r="V798" s="1"/>
      <c r="W798" s="1"/>
      <c r="X798" s="1"/>
      <c r="Y798" s="1"/>
      <c r="Z798" s="1"/>
    </row>
    <row r="799" spans="1:26" ht="15.75" customHeight="1" x14ac:dyDescent="0.4">
      <c r="A799" s="1"/>
      <c r="B799" s="1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34"/>
      <c r="S799" s="2"/>
      <c r="T799" s="2"/>
      <c r="U799" s="1"/>
      <c r="V799" s="1"/>
      <c r="W799" s="1"/>
      <c r="X799" s="1"/>
      <c r="Y799" s="1"/>
      <c r="Z799" s="1"/>
    </row>
    <row r="800" spans="1:26" ht="15.75" customHeight="1" x14ac:dyDescent="0.4">
      <c r="A800" s="1"/>
      <c r="B800" s="1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34"/>
      <c r="S800" s="2"/>
      <c r="T800" s="2"/>
      <c r="U800" s="1"/>
      <c r="V800" s="1"/>
      <c r="W800" s="1"/>
      <c r="X800" s="1"/>
      <c r="Y800" s="1"/>
      <c r="Z800" s="1"/>
    </row>
    <row r="801" spans="1:26" ht="15.75" customHeight="1" x14ac:dyDescent="0.4">
      <c r="A801" s="1"/>
      <c r="B801" s="1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34"/>
      <c r="S801" s="2"/>
      <c r="T801" s="2"/>
      <c r="U801" s="1"/>
      <c r="V801" s="1"/>
      <c r="W801" s="1"/>
      <c r="X801" s="1"/>
      <c r="Y801" s="1"/>
      <c r="Z801" s="1"/>
    </row>
    <row r="802" spans="1:26" ht="15.75" customHeight="1" x14ac:dyDescent="0.4">
      <c r="A802" s="1"/>
      <c r="B802" s="1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34"/>
      <c r="S802" s="2"/>
      <c r="T802" s="2"/>
      <c r="U802" s="1"/>
      <c r="V802" s="1"/>
      <c r="W802" s="1"/>
      <c r="X802" s="1"/>
      <c r="Y802" s="1"/>
      <c r="Z802" s="1"/>
    </row>
    <row r="803" spans="1:26" ht="15.75" customHeight="1" x14ac:dyDescent="0.4">
      <c r="A803" s="1"/>
      <c r="B803" s="1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34"/>
      <c r="S803" s="2"/>
      <c r="T803" s="2"/>
      <c r="U803" s="1"/>
      <c r="V803" s="1"/>
      <c r="W803" s="1"/>
      <c r="X803" s="1"/>
      <c r="Y803" s="1"/>
      <c r="Z803" s="1"/>
    </row>
    <row r="804" spans="1:26" ht="15.75" customHeight="1" x14ac:dyDescent="0.4">
      <c r="A804" s="1"/>
      <c r="B804" s="1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34"/>
      <c r="S804" s="2"/>
      <c r="T804" s="2"/>
      <c r="U804" s="1"/>
      <c r="V804" s="1"/>
      <c r="W804" s="1"/>
      <c r="X804" s="1"/>
      <c r="Y804" s="1"/>
      <c r="Z804" s="1"/>
    </row>
    <row r="805" spans="1:26" ht="15.75" customHeight="1" x14ac:dyDescent="0.4">
      <c r="A805" s="1"/>
      <c r="B805" s="1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34"/>
      <c r="S805" s="2"/>
      <c r="T805" s="2"/>
      <c r="U805" s="1"/>
      <c r="V805" s="1"/>
      <c r="W805" s="1"/>
      <c r="X805" s="1"/>
      <c r="Y805" s="1"/>
      <c r="Z805" s="1"/>
    </row>
    <row r="806" spans="1:26" ht="15.75" customHeight="1" x14ac:dyDescent="0.4">
      <c r="A806" s="1"/>
      <c r="B806" s="1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34"/>
      <c r="S806" s="2"/>
      <c r="T806" s="2"/>
      <c r="U806" s="1"/>
      <c r="V806" s="1"/>
      <c r="W806" s="1"/>
      <c r="X806" s="1"/>
      <c r="Y806" s="1"/>
      <c r="Z806" s="1"/>
    </row>
    <row r="807" spans="1:26" ht="15.75" customHeight="1" x14ac:dyDescent="0.4">
      <c r="A807" s="1"/>
      <c r="B807" s="1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34"/>
      <c r="S807" s="2"/>
      <c r="T807" s="2"/>
      <c r="U807" s="1"/>
      <c r="V807" s="1"/>
      <c r="W807" s="1"/>
      <c r="X807" s="1"/>
      <c r="Y807" s="1"/>
      <c r="Z807" s="1"/>
    </row>
    <row r="808" spans="1:26" ht="15.75" customHeight="1" x14ac:dyDescent="0.4">
      <c r="A808" s="1"/>
      <c r="B808" s="1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34"/>
      <c r="S808" s="2"/>
      <c r="T808" s="2"/>
      <c r="U808" s="1"/>
      <c r="V808" s="1"/>
      <c r="W808" s="1"/>
      <c r="X808" s="1"/>
      <c r="Y808" s="1"/>
      <c r="Z808" s="1"/>
    </row>
    <row r="809" spans="1:26" ht="15.75" customHeight="1" x14ac:dyDescent="0.4">
      <c r="A809" s="1"/>
      <c r="B809" s="1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34"/>
      <c r="S809" s="2"/>
      <c r="T809" s="2"/>
      <c r="U809" s="1"/>
      <c r="V809" s="1"/>
      <c r="W809" s="1"/>
      <c r="X809" s="1"/>
      <c r="Y809" s="1"/>
      <c r="Z809" s="1"/>
    </row>
    <row r="810" spans="1:26" ht="15.75" customHeight="1" x14ac:dyDescent="0.4">
      <c r="A810" s="1"/>
      <c r="B810" s="1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34"/>
      <c r="S810" s="2"/>
      <c r="T810" s="2"/>
      <c r="U810" s="1"/>
      <c r="V810" s="1"/>
      <c r="W810" s="1"/>
      <c r="X810" s="1"/>
      <c r="Y810" s="1"/>
      <c r="Z810" s="1"/>
    </row>
    <row r="811" spans="1:26" ht="15.75" customHeight="1" x14ac:dyDescent="0.4">
      <c r="A811" s="1"/>
      <c r="B811" s="1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34"/>
      <c r="S811" s="2"/>
      <c r="T811" s="2"/>
      <c r="U811" s="1"/>
      <c r="V811" s="1"/>
      <c r="W811" s="1"/>
      <c r="X811" s="1"/>
      <c r="Y811" s="1"/>
      <c r="Z811" s="1"/>
    </row>
    <row r="812" spans="1:26" ht="15.75" customHeight="1" x14ac:dyDescent="0.4">
      <c r="A812" s="1"/>
      <c r="B812" s="1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34"/>
      <c r="S812" s="2"/>
      <c r="T812" s="2"/>
      <c r="U812" s="1"/>
      <c r="V812" s="1"/>
      <c r="W812" s="1"/>
      <c r="X812" s="1"/>
      <c r="Y812" s="1"/>
      <c r="Z812" s="1"/>
    </row>
    <row r="813" spans="1:26" ht="15.75" customHeight="1" x14ac:dyDescent="0.4">
      <c r="A813" s="1"/>
      <c r="B813" s="1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34"/>
      <c r="S813" s="2"/>
      <c r="T813" s="2"/>
      <c r="U813" s="1"/>
      <c r="V813" s="1"/>
      <c r="W813" s="1"/>
      <c r="X813" s="1"/>
      <c r="Y813" s="1"/>
      <c r="Z813" s="1"/>
    </row>
    <row r="814" spans="1:26" ht="15.75" customHeight="1" x14ac:dyDescent="0.4">
      <c r="A814" s="1"/>
      <c r="B814" s="1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34"/>
      <c r="S814" s="2"/>
      <c r="T814" s="2"/>
      <c r="U814" s="1"/>
      <c r="V814" s="1"/>
      <c r="W814" s="1"/>
      <c r="X814" s="1"/>
      <c r="Y814" s="1"/>
      <c r="Z814" s="1"/>
    </row>
    <row r="815" spans="1:26" ht="15.75" customHeight="1" x14ac:dyDescent="0.4">
      <c r="A815" s="1"/>
      <c r="B815" s="1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34"/>
      <c r="S815" s="2"/>
      <c r="T815" s="2"/>
      <c r="U815" s="1"/>
      <c r="V815" s="1"/>
      <c r="W815" s="1"/>
      <c r="X815" s="1"/>
      <c r="Y815" s="1"/>
      <c r="Z815" s="1"/>
    </row>
    <row r="816" spans="1:26" ht="15.75" customHeight="1" x14ac:dyDescent="0.4">
      <c r="A816" s="1"/>
      <c r="B816" s="1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34"/>
      <c r="S816" s="2"/>
      <c r="T816" s="2"/>
      <c r="U816" s="1"/>
      <c r="V816" s="1"/>
      <c r="W816" s="1"/>
      <c r="X816" s="1"/>
      <c r="Y816" s="1"/>
      <c r="Z816" s="1"/>
    </row>
    <row r="817" spans="1:26" ht="15.75" customHeight="1" x14ac:dyDescent="0.4">
      <c r="A817" s="1"/>
      <c r="B817" s="1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34"/>
      <c r="S817" s="2"/>
      <c r="T817" s="2"/>
      <c r="U817" s="1"/>
      <c r="V817" s="1"/>
      <c r="W817" s="1"/>
      <c r="X817" s="1"/>
      <c r="Y817" s="1"/>
      <c r="Z817" s="1"/>
    </row>
    <row r="818" spans="1:26" ht="15.75" customHeight="1" x14ac:dyDescent="0.4">
      <c r="A818" s="1"/>
      <c r="B818" s="1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34"/>
      <c r="S818" s="2"/>
      <c r="T818" s="2"/>
      <c r="U818" s="1"/>
      <c r="V818" s="1"/>
      <c r="W818" s="1"/>
      <c r="X818" s="1"/>
      <c r="Y818" s="1"/>
      <c r="Z818" s="1"/>
    </row>
    <row r="819" spans="1:26" ht="15.75" customHeight="1" x14ac:dyDescent="0.4">
      <c r="A819" s="1"/>
      <c r="B819" s="1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34"/>
      <c r="S819" s="2"/>
      <c r="T819" s="2"/>
      <c r="U819" s="1"/>
      <c r="V819" s="1"/>
      <c r="W819" s="1"/>
      <c r="X819" s="1"/>
      <c r="Y819" s="1"/>
      <c r="Z819" s="1"/>
    </row>
    <row r="820" spans="1:26" ht="15.75" customHeight="1" x14ac:dyDescent="0.4">
      <c r="A820" s="1"/>
      <c r="B820" s="1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34"/>
      <c r="S820" s="2"/>
      <c r="T820" s="2"/>
      <c r="U820" s="1"/>
      <c r="V820" s="1"/>
      <c r="W820" s="1"/>
      <c r="X820" s="1"/>
      <c r="Y820" s="1"/>
      <c r="Z820" s="1"/>
    </row>
    <row r="821" spans="1:26" ht="15.75" customHeight="1" x14ac:dyDescent="0.4">
      <c r="A821" s="1"/>
      <c r="B821" s="1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34"/>
      <c r="S821" s="2"/>
      <c r="T821" s="2"/>
      <c r="U821" s="1"/>
      <c r="V821" s="1"/>
      <c r="W821" s="1"/>
      <c r="X821" s="1"/>
      <c r="Y821" s="1"/>
      <c r="Z821" s="1"/>
    </row>
    <row r="822" spans="1:26" ht="15.75" customHeight="1" x14ac:dyDescent="0.4">
      <c r="A822" s="1"/>
      <c r="B822" s="1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34"/>
      <c r="S822" s="2"/>
      <c r="T822" s="2"/>
      <c r="U822" s="1"/>
      <c r="V822" s="1"/>
      <c r="W822" s="1"/>
      <c r="X822" s="1"/>
      <c r="Y822" s="1"/>
      <c r="Z822" s="1"/>
    </row>
    <row r="823" spans="1:26" ht="15.75" customHeight="1" x14ac:dyDescent="0.4">
      <c r="A823" s="1"/>
      <c r="B823" s="1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34"/>
      <c r="S823" s="2"/>
      <c r="T823" s="2"/>
      <c r="U823" s="1"/>
      <c r="V823" s="1"/>
      <c r="W823" s="1"/>
      <c r="X823" s="1"/>
      <c r="Y823" s="1"/>
      <c r="Z823" s="1"/>
    </row>
    <row r="824" spans="1:26" ht="15.75" customHeight="1" x14ac:dyDescent="0.4">
      <c r="A824" s="1"/>
      <c r="B824" s="1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34"/>
      <c r="S824" s="2"/>
      <c r="T824" s="2"/>
      <c r="U824" s="1"/>
      <c r="V824" s="1"/>
      <c r="W824" s="1"/>
      <c r="X824" s="1"/>
      <c r="Y824" s="1"/>
      <c r="Z824" s="1"/>
    </row>
    <row r="825" spans="1:26" ht="15.75" customHeight="1" x14ac:dyDescent="0.4">
      <c r="A825" s="1"/>
      <c r="B825" s="1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34"/>
      <c r="S825" s="2"/>
      <c r="T825" s="2"/>
      <c r="U825" s="1"/>
      <c r="V825" s="1"/>
      <c r="W825" s="1"/>
      <c r="X825" s="1"/>
      <c r="Y825" s="1"/>
      <c r="Z825" s="1"/>
    </row>
    <row r="826" spans="1:26" ht="15.75" customHeight="1" x14ac:dyDescent="0.4">
      <c r="A826" s="1"/>
      <c r="B826" s="1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34"/>
      <c r="S826" s="2"/>
      <c r="T826" s="2"/>
      <c r="U826" s="1"/>
      <c r="V826" s="1"/>
      <c r="W826" s="1"/>
      <c r="X826" s="1"/>
      <c r="Y826" s="1"/>
      <c r="Z826" s="1"/>
    </row>
    <row r="827" spans="1:26" ht="15.75" customHeight="1" x14ac:dyDescent="0.4">
      <c r="A827" s="1"/>
      <c r="B827" s="1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34"/>
      <c r="S827" s="2"/>
      <c r="T827" s="2"/>
      <c r="U827" s="1"/>
      <c r="V827" s="1"/>
      <c r="W827" s="1"/>
      <c r="X827" s="1"/>
      <c r="Y827" s="1"/>
      <c r="Z827" s="1"/>
    </row>
    <row r="828" spans="1:26" ht="15.75" customHeight="1" x14ac:dyDescent="0.4">
      <c r="A828" s="1"/>
      <c r="B828" s="1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34"/>
      <c r="S828" s="2"/>
      <c r="T828" s="2"/>
      <c r="U828" s="1"/>
      <c r="V828" s="1"/>
      <c r="W828" s="1"/>
      <c r="X828" s="1"/>
      <c r="Y828" s="1"/>
      <c r="Z828" s="1"/>
    </row>
    <row r="829" spans="1:26" ht="15.75" customHeight="1" x14ac:dyDescent="0.4">
      <c r="A829" s="1"/>
      <c r="B829" s="1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34"/>
      <c r="S829" s="2"/>
      <c r="T829" s="2"/>
      <c r="U829" s="1"/>
      <c r="V829" s="1"/>
      <c r="W829" s="1"/>
      <c r="X829" s="1"/>
      <c r="Y829" s="1"/>
      <c r="Z829" s="1"/>
    </row>
    <row r="830" spans="1:26" ht="15.75" customHeight="1" x14ac:dyDescent="0.4">
      <c r="A830" s="1"/>
      <c r="B830" s="1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34"/>
      <c r="S830" s="2"/>
      <c r="T830" s="2"/>
      <c r="U830" s="1"/>
      <c r="V830" s="1"/>
      <c r="W830" s="1"/>
      <c r="X830" s="1"/>
      <c r="Y830" s="1"/>
      <c r="Z830" s="1"/>
    </row>
    <row r="831" spans="1:26" ht="15.75" customHeight="1" x14ac:dyDescent="0.4">
      <c r="A831" s="1"/>
      <c r="B831" s="1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34"/>
      <c r="S831" s="2"/>
      <c r="T831" s="2"/>
      <c r="U831" s="1"/>
      <c r="V831" s="1"/>
      <c r="W831" s="1"/>
      <c r="X831" s="1"/>
      <c r="Y831" s="1"/>
      <c r="Z831" s="1"/>
    </row>
    <row r="832" spans="1:26" ht="15.75" customHeight="1" x14ac:dyDescent="0.4">
      <c r="A832" s="1"/>
      <c r="B832" s="1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34"/>
      <c r="S832" s="2"/>
      <c r="T832" s="2"/>
      <c r="U832" s="1"/>
      <c r="V832" s="1"/>
      <c r="W832" s="1"/>
      <c r="X832" s="1"/>
      <c r="Y832" s="1"/>
      <c r="Z832" s="1"/>
    </row>
    <row r="833" spans="1:26" ht="15.75" customHeight="1" x14ac:dyDescent="0.4">
      <c r="A833" s="1"/>
      <c r="B833" s="1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34"/>
      <c r="S833" s="2"/>
      <c r="T833" s="2"/>
      <c r="U833" s="1"/>
      <c r="V833" s="1"/>
      <c r="W833" s="1"/>
      <c r="X833" s="1"/>
      <c r="Y833" s="1"/>
      <c r="Z833" s="1"/>
    </row>
    <row r="834" spans="1:26" ht="15.75" customHeight="1" x14ac:dyDescent="0.4">
      <c r="A834" s="1"/>
      <c r="B834" s="1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34"/>
      <c r="S834" s="2"/>
      <c r="T834" s="2"/>
      <c r="U834" s="1"/>
      <c r="V834" s="1"/>
      <c r="W834" s="1"/>
      <c r="X834" s="1"/>
      <c r="Y834" s="1"/>
      <c r="Z834" s="1"/>
    </row>
    <row r="835" spans="1:26" ht="15.75" customHeight="1" x14ac:dyDescent="0.4">
      <c r="A835" s="1"/>
      <c r="B835" s="1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34"/>
      <c r="S835" s="2"/>
      <c r="T835" s="2"/>
      <c r="U835" s="1"/>
      <c r="V835" s="1"/>
      <c r="W835" s="1"/>
      <c r="X835" s="1"/>
      <c r="Y835" s="1"/>
      <c r="Z835" s="1"/>
    </row>
    <row r="836" spans="1:26" ht="15.75" customHeight="1" x14ac:dyDescent="0.4">
      <c r="A836" s="1"/>
      <c r="B836" s="1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34"/>
      <c r="S836" s="2"/>
      <c r="T836" s="2"/>
      <c r="U836" s="1"/>
      <c r="V836" s="1"/>
      <c r="W836" s="1"/>
      <c r="X836" s="1"/>
      <c r="Y836" s="1"/>
      <c r="Z836" s="1"/>
    </row>
    <row r="837" spans="1:26" ht="15.75" customHeight="1" x14ac:dyDescent="0.4">
      <c r="A837" s="1"/>
      <c r="B837" s="1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34"/>
      <c r="S837" s="2"/>
      <c r="T837" s="2"/>
      <c r="U837" s="1"/>
      <c r="V837" s="1"/>
      <c r="W837" s="1"/>
      <c r="X837" s="1"/>
      <c r="Y837" s="1"/>
      <c r="Z837" s="1"/>
    </row>
    <row r="838" spans="1:26" ht="15.75" customHeight="1" x14ac:dyDescent="0.4">
      <c r="A838" s="1"/>
      <c r="B838" s="1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34"/>
      <c r="S838" s="2"/>
      <c r="T838" s="2"/>
      <c r="U838" s="1"/>
      <c r="V838" s="1"/>
      <c r="W838" s="1"/>
      <c r="X838" s="1"/>
      <c r="Y838" s="1"/>
      <c r="Z838" s="1"/>
    </row>
    <row r="839" spans="1:26" ht="15.75" customHeight="1" x14ac:dyDescent="0.4">
      <c r="A839" s="1"/>
      <c r="B839" s="1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34"/>
      <c r="S839" s="2"/>
      <c r="T839" s="2"/>
      <c r="U839" s="1"/>
      <c r="V839" s="1"/>
      <c r="W839" s="1"/>
      <c r="X839" s="1"/>
      <c r="Y839" s="1"/>
      <c r="Z839" s="1"/>
    </row>
    <row r="840" spans="1:26" ht="15.75" customHeight="1" x14ac:dyDescent="0.4">
      <c r="A840" s="1"/>
      <c r="B840" s="1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34"/>
      <c r="S840" s="2"/>
      <c r="T840" s="2"/>
      <c r="U840" s="1"/>
      <c r="V840" s="1"/>
      <c r="W840" s="1"/>
      <c r="X840" s="1"/>
      <c r="Y840" s="1"/>
      <c r="Z840" s="1"/>
    </row>
    <row r="841" spans="1:26" ht="15.75" customHeight="1" x14ac:dyDescent="0.4">
      <c r="A841" s="1"/>
      <c r="B841" s="1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34"/>
      <c r="S841" s="2"/>
      <c r="T841" s="2"/>
      <c r="U841" s="1"/>
      <c r="V841" s="1"/>
      <c r="W841" s="1"/>
      <c r="X841" s="1"/>
      <c r="Y841" s="1"/>
      <c r="Z841" s="1"/>
    </row>
    <row r="842" spans="1:26" ht="15.75" customHeight="1" x14ac:dyDescent="0.4">
      <c r="A842" s="1"/>
      <c r="B842" s="1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34"/>
      <c r="S842" s="2"/>
      <c r="T842" s="2"/>
      <c r="U842" s="1"/>
      <c r="V842" s="1"/>
      <c r="W842" s="1"/>
      <c r="X842" s="1"/>
      <c r="Y842" s="1"/>
      <c r="Z842" s="1"/>
    </row>
    <row r="843" spans="1:26" ht="15.75" customHeight="1" x14ac:dyDescent="0.4">
      <c r="A843" s="1"/>
      <c r="B843" s="1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34"/>
      <c r="S843" s="2"/>
      <c r="T843" s="2"/>
      <c r="U843" s="1"/>
      <c r="V843" s="1"/>
      <c r="W843" s="1"/>
      <c r="X843" s="1"/>
      <c r="Y843" s="1"/>
      <c r="Z843" s="1"/>
    </row>
    <row r="844" spans="1:26" ht="15.75" customHeight="1" x14ac:dyDescent="0.4">
      <c r="A844" s="1"/>
      <c r="B844" s="1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34"/>
      <c r="S844" s="2"/>
      <c r="T844" s="2"/>
      <c r="U844" s="1"/>
      <c r="V844" s="1"/>
      <c r="W844" s="1"/>
      <c r="X844" s="1"/>
      <c r="Y844" s="1"/>
      <c r="Z844" s="1"/>
    </row>
    <row r="845" spans="1:26" ht="15.75" customHeight="1" x14ac:dyDescent="0.4">
      <c r="A845" s="1"/>
      <c r="B845" s="1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34"/>
      <c r="S845" s="2"/>
      <c r="T845" s="2"/>
      <c r="U845" s="1"/>
      <c r="V845" s="1"/>
      <c r="W845" s="1"/>
      <c r="X845" s="1"/>
      <c r="Y845" s="1"/>
      <c r="Z845" s="1"/>
    </row>
    <row r="846" spans="1:26" ht="15.75" customHeight="1" x14ac:dyDescent="0.4">
      <c r="A846" s="1"/>
      <c r="B846" s="1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34"/>
      <c r="S846" s="2"/>
      <c r="T846" s="2"/>
      <c r="U846" s="1"/>
      <c r="V846" s="1"/>
      <c r="W846" s="1"/>
      <c r="X846" s="1"/>
      <c r="Y846" s="1"/>
      <c r="Z846" s="1"/>
    </row>
    <row r="847" spans="1:26" ht="15.75" customHeight="1" x14ac:dyDescent="0.4">
      <c r="A847" s="1"/>
      <c r="B847" s="1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34"/>
      <c r="S847" s="2"/>
      <c r="T847" s="2"/>
      <c r="U847" s="1"/>
      <c r="V847" s="1"/>
      <c r="W847" s="1"/>
      <c r="X847" s="1"/>
      <c r="Y847" s="1"/>
      <c r="Z847" s="1"/>
    </row>
    <row r="848" spans="1:26" ht="15.75" customHeight="1" x14ac:dyDescent="0.4">
      <c r="A848" s="1"/>
      <c r="B848" s="1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34"/>
      <c r="S848" s="2"/>
      <c r="T848" s="2"/>
      <c r="U848" s="1"/>
      <c r="V848" s="1"/>
      <c r="W848" s="1"/>
      <c r="X848" s="1"/>
      <c r="Y848" s="1"/>
      <c r="Z848" s="1"/>
    </row>
    <row r="849" spans="1:26" ht="15.75" customHeight="1" x14ac:dyDescent="0.4">
      <c r="A849" s="1"/>
      <c r="B849" s="1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34"/>
      <c r="S849" s="2"/>
      <c r="T849" s="2"/>
      <c r="U849" s="1"/>
      <c r="V849" s="1"/>
      <c r="W849" s="1"/>
      <c r="X849" s="1"/>
      <c r="Y849" s="1"/>
      <c r="Z849" s="1"/>
    </row>
    <row r="850" spans="1:26" ht="15.75" customHeight="1" x14ac:dyDescent="0.4">
      <c r="A850" s="1"/>
      <c r="B850" s="1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34"/>
      <c r="S850" s="2"/>
      <c r="T850" s="2"/>
      <c r="U850" s="1"/>
      <c r="V850" s="1"/>
      <c r="W850" s="1"/>
      <c r="X850" s="1"/>
      <c r="Y850" s="1"/>
      <c r="Z850" s="1"/>
    </row>
    <row r="851" spans="1:26" ht="15.75" customHeight="1" x14ac:dyDescent="0.4">
      <c r="A851" s="1"/>
      <c r="B851" s="1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34"/>
      <c r="S851" s="2"/>
      <c r="T851" s="2"/>
      <c r="U851" s="1"/>
      <c r="V851" s="1"/>
      <c r="W851" s="1"/>
      <c r="X851" s="1"/>
      <c r="Y851" s="1"/>
      <c r="Z851" s="1"/>
    </row>
    <row r="852" spans="1:26" ht="15.75" customHeight="1" x14ac:dyDescent="0.4">
      <c r="A852" s="1"/>
      <c r="B852" s="1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34"/>
      <c r="S852" s="2"/>
      <c r="T852" s="2"/>
      <c r="U852" s="1"/>
      <c r="V852" s="1"/>
      <c r="W852" s="1"/>
      <c r="X852" s="1"/>
      <c r="Y852" s="1"/>
      <c r="Z852" s="1"/>
    </row>
    <row r="853" spans="1:26" ht="15.75" customHeight="1" x14ac:dyDescent="0.4">
      <c r="A853" s="1"/>
      <c r="B853" s="1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34"/>
      <c r="S853" s="2"/>
      <c r="T853" s="2"/>
      <c r="U853" s="1"/>
      <c r="V853" s="1"/>
      <c r="W853" s="1"/>
      <c r="X853" s="1"/>
      <c r="Y853" s="1"/>
      <c r="Z853" s="1"/>
    </row>
    <row r="854" spans="1:26" ht="15.75" customHeight="1" x14ac:dyDescent="0.4">
      <c r="A854" s="1"/>
      <c r="B854" s="1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34"/>
      <c r="S854" s="2"/>
      <c r="T854" s="2"/>
      <c r="U854" s="1"/>
      <c r="V854" s="1"/>
      <c r="W854" s="1"/>
      <c r="X854" s="1"/>
      <c r="Y854" s="1"/>
      <c r="Z854" s="1"/>
    </row>
    <row r="855" spans="1:26" ht="15.75" customHeight="1" x14ac:dyDescent="0.4">
      <c r="A855" s="1"/>
      <c r="B855" s="1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34"/>
      <c r="S855" s="2"/>
      <c r="T855" s="2"/>
      <c r="U855" s="1"/>
      <c r="V855" s="1"/>
      <c r="W855" s="1"/>
      <c r="X855" s="1"/>
      <c r="Y855" s="1"/>
      <c r="Z855" s="1"/>
    </row>
    <row r="856" spans="1:26" ht="15.75" customHeight="1" x14ac:dyDescent="0.4">
      <c r="A856" s="1"/>
      <c r="B856" s="1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34"/>
      <c r="S856" s="2"/>
      <c r="T856" s="2"/>
      <c r="U856" s="1"/>
      <c r="V856" s="1"/>
      <c r="W856" s="1"/>
      <c r="X856" s="1"/>
      <c r="Y856" s="1"/>
      <c r="Z856" s="1"/>
    </row>
    <row r="857" spans="1:26" ht="15.75" customHeight="1" x14ac:dyDescent="0.4">
      <c r="A857" s="1"/>
      <c r="B857" s="1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34"/>
      <c r="S857" s="2"/>
      <c r="T857" s="2"/>
      <c r="U857" s="1"/>
      <c r="V857" s="1"/>
      <c r="W857" s="1"/>
      <c r="X857" s="1"/>
      <c r="Y857" s="1"/>
      <c r="Z857" s="1"/>
    </row>
    <row r="858" spans="1:26" ht="15.75" customHeight="1" x14ac:dyDescent="0.4">
      <c r="A858" s="1"/>
      <c r="B858" s="1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34"/>
      <c r="S858" s="2"/>
      <c r="T858" s="2"/>
      <c r="U858" s="1"/>
      <c r="V858" s="1"/>
      <c r="W858" s="1"/>
      <c r="X858" s="1"/>
      <c r="Y858" s="1"/>
      <c r="Z858" s="1"/>
    </row>
    <row r="859" spans="1:26" ht="15.75" customHeight="1" x14ac:dyDescent="0.4">
      <c r="A859" s="1"/>
      <c r="B859" s="1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34"/>
      <c r="S859" s="2"/>
      <c r="T859" s="2"/>
      <c r="U859" s="1"/>
      <c r="V859" s="1"/>
      <c r="W859" s="1"/>
      <c r="X859" s="1"/>
      <c r="Y859" s="1"/>
      <c r="Z859" s="1"/>
    </row>
    <row r="860" spans="1:26" ht="15.75" customHeight="1" x14ac:dyDescent="0.4">
      <c r="A860" s="1"/>
      <c r="B860" s="1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34"/>
      <c r="S860" s="2"/>
      <c r="T860" s="2"/>
      <c r="U860" s="1"/>
      <c r="V860" s="1"/>
      <c r="W860" s="1"/>
      <c r="X860" s="1"/>
      <c r="Y860" s="1"/>
      <c r="Z860" s="1"/>
    </row>
    <row r="861" spans="1:26" ht="15.75" customHeight="1" x14ac:dyDescent="0.4">
      <c r="A861" s="1"/>
      <c r="B861" s="1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34"/>
      <c r="S861" s="2"/>
      <c r="T861" s="2"/>
      <c r="U861" s="1"/>
      <c r="V861" s="1"/>
      <c r="W861" s="1"/>
      <c r="X861" s="1"/>
      <c r="Y861" s="1"/>
      <c r="Z861" s="1"/>
    </row>
    <row r="862" spans="1:26" ht="15.75" customHeight="1" x14ac:dyDescent="0.4">
      <c r="A862" s="1"/>
      <c r="B862" s="1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34"/>
      <c r="S862" s="2"/>
      <c r="T862" s="2"/>
      <c r="U862" s="1"/>
      <c r="V862" s="1"/>
      <c r="W862" s="1"/>
      <c r="X862" s="1"/>
      <c r="Y862" s="1"/>
      <c r="Z862" s="1"/>
    </row>
    <row r="863" spans="1:26" ht="15.75" customHeight="1" x14ac:dyDescent="0.4">
      <c r="A863" s="1"/>
      <c r="B863" s="1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34"/>
      <c r="S863" s="2"/>
      <c r="T863" s="2"/>
      <c r="U863" s="1"/>
      <c r="V863" s="1"/>
      <c r="W863" s="1"/>
      <c r="X863" s="1"/>
      <c r="Y863" s="1"/>
      <c r="Z863" s="1"/>
    </row>
    <row r="864" spans="1:26" ht="15.75" customHeight="1" x14ac:dyDescent="0.4">
      <c r="A864" s="1"/>
      <c r="B864" s="1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34"/>
      <c r="S864" s="2"/>
      <c r="T864" s="2"/>
      <c r="U864" s="1"/>
      <c r="V864" s="1"/>
      <c r="W864" s="1"/>
      <c r="X864" s="1"/>
      <c r="Y864" s="1"/>
      <c r="Z864" s="1"/>
    </row>
    <row r="865" spans="1:26" ht="15.75" customHeight="1" x14ac:dyDescent="0.4">
      <c r="A865" s="1"/>
      <c r="B865" s="1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34"/>
      <c r="S865" s="2"/>
      <c r="T865" s="2"/>
      <c r="U865" s="1"/>
      <c r="V865" s="1"/>
      <c r="W865" s="1"/>
      <c r="X865" s="1"/>
      <c r="Y865" s="1"/>
      <c r="Z865" s="1"/>
    </row>
    <row r="866" spans="1:26" ht="15.75" customHeight="1" x14ac:dyDescent="0.4">
      <c r="A866" s="1"/>
      <c r="B866" s="1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34"/>
      <c r="S866" s="2"/>
      <c r="T866" s="2"/>
      <c r="U866" s="1"/>
      <c r="V866" s="1"/>
      <c r="W866" s="1"/>
      <c r="X866" s="1"/>
      <c r="Y866" s="1"/>
      <c r="Z866" s="1"/>
    </row>
    <row r="867" spans="1:26" ht="15.75" customHeight="1" x14ac:dyDescent="0.4">
      <c r="A867" s="1"/>
      <c r="B867" s="1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34"/>
      <c r="S867" s="2"/>
      <c r="T867" s="2"/>
      <c r="U867" s="1"/>
      <c r="V867" s="1"/>
      <c r="W867" s="1"/>
      <c r="X867" s="1"/>
      <c r="Y867" s="1"/>
      <c r="Z867" s="1"/>
    </row>
    <row r="868" spans="1:26" ht="15.75" customHeight="1" x14ac:dyDescent="0.4">
      <c r="A868" s="1"/>
      <c r="B868" s="1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34"/>
      <c r="S868" s="2"/>
      <c r="T868" s="2"/>
      <c r="U868" s="1"/>
      <c r="V868" s="1"/>
      <c r="W868" s="1"/>
      <c r="X868" s="1"/>
      <c r="Y868" s="1"/>
      <c r="Z868" s="1"/>
    </row>
    <row r="869" spans="1:26" ht="15.75" customHeight="1" x14ac:dyDescent="0.4">
      <c r="A869" s="1"/>
      <c r="B869" s="1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34"/>
      <c r="S869" s="2"/>
      <c r="T869" s="2"/>
      <c r="U869" s="1"/>
      <c r="V869" s="1"/>
      <c r="W869" s="1"/>
      <c r="X869" s="1"/>
      <c r="Y869" s="1"/>
      <c r="Z869" s="1"/>
    </row>
    <row r="870" spans="1:26" ht="15.75" customHeight="1" x14ac:dyDescent="0.4">
      <c r="A870" s="1"/>
      <c r="B870" s="1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34"/>
      <c r="S870" s="2"/>
      <c r="T870" s="2"/>
      <c r="U870" s="1"/>
      <c r="V870" s="1"/>
      <c r="W870" s="1"/>
      <c r="X870" s="1"/>
      <c r="Y870" s="1"/>
      <c r="Z870" s="1"/>
    </row>
    <row r="871" spans="1:26" ht="15.75" customHeight="1" x14ac:dyDescent="0.4">
      <c r="A871" s="1"/>
      <c r="B871" s="1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34"/>
      <c r="S871" s="2"/>
      <c r="T871" s="2"/>
      <c r="U871" s="1"/>
      <c r="V871" s="1"/>
      <c r="W871" s="1"/>
      <c r="X871" s="1"/>
      <c r="Y871" s="1"/>
      <c r="Z871" s="1"/>
    </row>
    <row r="872" spans="1:26" ht="15.75" customHeight="1" x14ac:dyDescent="0.4">
      <c r="A872" s="1"/>
      <c r="B872" s="1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34"/>
      <c r="S872" s="2"/>
      <c r="T872" s="2"/>
      <c r="U872" s="1"/>
      <c r="V872" s="1"/>
      <c r="W872" s="1"/>
      <c r="X872" s="1"/>
      <c r="Y872" s="1"/>
      <c r="Z872" s="1"/>
    </row>
    <row r="873" spans="1:26" ht="15.75" customHeight="1" x14ac:dyDescent="0.4">
      <c r="A873" s="1"/>
      <c r="B873" s="1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34"/>
      <c r="S873" s="2"/>
      <c r="T873" s="2"/>
      <c r="U873" s="1"/>
      <c r="V873" s="1"/>
      <c r="W873" s="1"/>
      <c r="X873" s="1"/>
      <c r="Y873" s="1"/>
      <c r="Z873" s="1"/>
    </row>
    <row r="874" spans="1:26" ht="15.75" customHeight="1" x14ac:dyDescent="0.4">
      <c r="A874" s="1"/>
      <c r="B874" s="1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34"/>
      <c r="S874" s="2"/>
      <c r="T874" s="2"/>
      <c r="U874" s="1"/>
      <c r="V874" s="1"/>
      <c r="W874" s="1"/>
      <c r="X874" s="1"/>
      <c r="Y874" s="1"/>
      <c r="Z874" s="1"/>
    </row>
    <row r="875" spans="1:26" ht="15.75" customHeight="1" x14ac:dyDescent="0.4">
      <c r="A875" s="1"/>
      <c r="B875" s="1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34"/>
      <c r="S875" s="2"/>
      <c r="T875" s="2"/>
      <c r="U875" s="1"/>
      <c r="V875" s="1"/>
      <c r="W875" s="1"/>
      <c r="X875" s="1"/>
      <c r="Y875" s="1"/>
      <c r="Z875" s="1"/>
    </row>
    <row r="876" spans="1:26" ht="15.75" customHeight="1" x14ac:dyDescent="0.4">
      <c r="A876" s="1"/>
      <c r="B876" s="1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34"/>
      <c r="S876" s="2"/>
      <c r="T876" s="2"/>
      <c r="U876" s="1"/>
      <c r="V876" s="1"/>
      <c r="W876" s="1"/>
      <c r="X876" s="1"/>
      <c r="Y876" s="1"/>
      <c r="Z876" s="1"/>
    </row>
    <row r="877" spans="1:26" ht="15.75" customHeight="1" x14ac:dyDescent="0.4">
      <c r="A877" s="1"/>
      <c r="B877" s="1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34"/>
      <c r="S877" s="2"/>
      <c r="T877" s="2"/>
      <c r="U877" s="1"/>
      <c r="V877" s="1"/>
      <c r="W877" s="1"/>
      <c r="X877" s="1"/>
      <c r="Y877" s="1"/>
      <c r="Z877" s="1"/>
    </row>
    <row r="878" spans="1:26" ht="15.75" customHeight="1" x14ac:dyDescent="0.4">
      <c r="A878" s="1"/>
      <c r="B878" s="1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34"/>
      <c r="S878" s="2"/>
      <c r="T878" s="2"/>
      <c r="U878" s="1"/>
      <c r="V878" s="1"/>
      <c r="W878" s="1"/>
      <c r="X878" s="1"/>
      <c r="Y878" s="1"/>
      <c r="Z878" s="1"/>
    </row>
    <row r="879" spans="1:26" ht="15.75" customHeight="1" x14ac:dyDescent="0.4">
      <c r="A879" s="1"/>
      <c r="B879" s="1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34"/>
      <c r="S879" s="2"/>
      <c r="T879" s="2"/>
      <c r="U879" s="1"/>
      <c r="V879" s="1"/>
      <c r="W879" s="1"/>
      <c r="X879" s="1"/>
      <c r="Y879" s="1"/>
      <c r="Z879" s="1"/>
    </row>
    <row r="880" spans="1:26" ht="15.75" customHeight="1" x14ac:dyDescent="0.4">
      <c r="A880" s="1"/>
      <c r="B880" s="1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34"/>
      <c r="S880" s="2"/>
      <c r="T880" s="2"/>
      <c r="U880" s="1"/>
      <c r="V880" s="1"/>
      <c r="W880" s="1"/>
      <c r="X880" s="1"/>
      <c r="Y880" s="1"/>
      <c r="Z880" s="1"/>
    </row>
    <row r="881" spans="1:26" ht="15.75" customHeight="1" x14ac:dyDescent="0.4">
      <c r="A881" s="1"/>
      <c r="B881" s="1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34"/>
      <c r="S881" s="2"/>
      <c r="T881" s="2"/>
      <c r="U881" s="1"/>
      <c r="V881" s="1"/>
      <c r="W881" s="1"/>
      <c r="X881" s="1"/>
      <c r="Y881" s="1"/>
      <c r="Z881" s="1"/>
    </row>
    <row r="882" spans="1:26" ht="15.75" customHeight="1" x14ac:dyDescent="0.4">
      <c r="A882" s="1"/>
      <c r="B882" s="1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34"/>
      <c r="S882" s="2"/>
      <c r="T882" s="2"/>
      <c r="U882" s="1"/>
      <c r="V882" s="1"/>
      <c r="W882" s="1"/>
      <c r="X882" s="1"/>
      <c r="Y882" s="1"/>
      <c r="Z882" s="1"/>
    </row>
    <row r="883" spans="1:26" ht="15.75" customHeight="1" x14ac:dyDescent="0.4">
      <c r="A883" s="1"/>
      <c r="B883" s="1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34"/>
      <c r="S883" s="2"/>
      <c r="T883" s="2"/>
      <c r="U883" s="1"/>
      <c r="V883" s="1"/>
      <c r="W883" s="1"/>
      <c r="X883" s="1"/>
      <c r="Y883" s="1"/>
      <c r="Z883" s="1"/>
    </row>
    <row r="884" spans="1:26" ht="15.75" customHeight="1" x14ac:dyDescent="0.4">
      <c r="A884" s="1"/>
      <c r="B884" s="1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34"/>
      <c r="S884" s="2"/>
      <c r="T884" s="2"/>
      <c r="U884" s="1"/>
      <c r="V884" s="1"/>
      <c r="W884" s="1"/>
      <c r="X884" s="1"/>
      <c r="Y884" s="1"/>
      <c r="Z884" s="1"/>
    </row>
    <row r="885" spans="1:26" ht="15.75" customHeight="1" x14ac:dyDescent="0.4">
      <c r="A885" s="1"/>
      <c r="B885" s="1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34"/>
      <c r="S885" s="2"/>
      <c r="T885" s="2"/>
      <c r="U885" s="1"/>
      <c r="V885" s="1"/>
      <c r="W885" s="1"/>
      <c r="X885" s="1"/>
      <c r="Y885" s="1"/>
      <c r="Z885" s="1"/>
    </row>
    <row r="886" spans="1:26" ht="15.75" customHeight="1" x14ac:dyDescent="0.4">
      <c r="A886" s="1"/>
      <c r="B886" s="1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34"/>
      <c r="S886" s="2"/>
      <c r="T886" s="2"/>
      <c r="U886" s="1"/>
      <c r="V886" s="1"/>
      <c r="W886" s="1"/>
      <c r="X886" s="1"/>
      <c r="Y886" s="1"/>
      <c r="Z886" s="1"/>
    </row>
    <row r="887" spans="1:26" ht="15.75" customHeight="1" x14ac:dyDescent="0.4">
      <c r="A887" s="1"/>
      <c r="B887" s="1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34"/>
      <c r="S887" s="2"/>
      <c r="T887" s="2"/>
      <c r="U887" s="1"/>
      <c r="V887" s="1"/>
      <c r="W887" s="1"/>
      <c r="X887" s="1"/>
      <c r="Y887" s="1"/>
      <c r="Z887" s="1"/>
    </row>
    <row r="888" spans="1:26" ht="15.75" customHeight="1" x14ac:dyDescent="0.4">
      <c r="A888" s="1"/>
      <c r="B888" s="1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34"/>
      <c r="S888" s="2"/>
      <c r="T888" s="2"/>
      <c r="U888" s="1"/>
      <c r="V888" s="1"/>
      <c r="W888" s="1"/>
      <c r="X888" s="1"/>
      <c r="Y888" s="1"/>
      <c r="Z888" s="1"/>
    </row>
    <row r="889" spans="1:26" ht="15.75" customHeight="1" x14ac:dyDescent="0.4">
      <c r="A889" s="1"/>
      <c r="B889" s="1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34"/>
      <c r="S889" s="2"/>
      <c r="T889" s="2"/>
      <c r="U889" s="1"/>
      <c r="V889" s="1"/>
      <c r="W889" s="1"/>
      <c r="X889" s="1"/>
      <c r="Y889" s="1"/>
      <c r="Z889" s="1"/>
    </row>
    <row r="890" spans="1:26" ht="15.75" customHeight="1" x14ac:dyDescent="0.4">
      <c r="A890" s="1"/>
      <c r="B890" s="1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34"/>
      <c r="S890" s="2"/>
      <c r="T890" s="2"/>
      <c r="U890" s="1"/>
      <c r="V890" s="1"/>
      <c r="W890" s="1"/>
      <c r="X890" s="1"/>
      <c r="Y890" s="1"/>
      <c r="Z890" s="1"/>
    </row>
    <row r="891" spans="1:26" ht="15.75" customHeight="1" x14ac:dyDescent="0.4">
      <c r="A891" s="1"/>
      <c r="B891" s="1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34"/>
      <c r="S891" s="2"/>
      <c r="T891" s="2"/>
      <c r="U891" s="1"/>
      <c r="V891" s="1"/>
      <c r="W891" s="1"/>
      <c r="X891" s="1"/>
      <c r="Y891" s="1"/>
      <c r="Z891" s="1"/>
    </row>
    <row r="892" spans="1:26" ht="15.75" customHeight="1" x14ac:dyDescent="0.4">
      <c r="A892" s="1"/>
      <c r="B892" s="1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34"/>
      <c r="S892" s="2"/>
      <c r="T892" s="2"/>
      <c r="U892" s="1"/>
      <c r="V892" s="1"/>
      <c r="W892" s="1"/>
      <c r="X892" s="1"/>
      <c r="Y892" s="1"/>
      <c r="Z892" s="1"/>
    </row>
    <row r="893" spans="1:26" ht="15.75" customHeight="1" x14ac:dyDescent="0.4">
      <c r="A893" s="1"/>
      <c r="B893" s="1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34"/>
      <c r="S893" s="2"/>
      <c r="T893" s="2"/>
      <c r="U893" s="1"/>
      <c r="V893" s="1"/>
      <c r="W893" s="1"/>
      <c r="X893" s="1"/>
      <c r="Y893" s="1"/>
      <c r="Z893" s="1"/>
    </row>
    <row r="894" spans="1:26" ht="15.75" customHeight="1" x14ac:dyDescent="0.4">
      <c r="A894" s="1"/>
      <c r="B894" s="1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34"/>
      <c r="S894" s="2"/>
      <c r="T894" s="2"/>
      <c r="U894" s="1"/>
      <c r="V894" s="1"/>
      <c r="W894" s="1"/>
      <c r="X894" s="1"/>
      <c r="Y894" s="1"/>
      <c r="Z894" s="1"/>
    </row>
    <row r="895" spans="1:26" ht="15.75" customHeight="1" x14ac:dyDescent="0.4">
      <c r="A895" s="1"/>
      <c r="B895" s="1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34"/>
      <c r="S895" s="2"/>
      <c r="T895" s="2"/>
      <c r="U895" s="1"/>
      <c r="V895" s="1"/>
      <c r="W895" s="1"/>
      <c r="X895" s="1"/>
      <c r="Y895" s="1"/>
      <c r="Z895" s="1"/>
    </row>
    <row r="896" spans="1:26" ht="15.75" customHeight="1" x14ac:dyDescent="0.4">
      <c r="A896" s="1"/>
      <c r="B896" s="1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34"/>
      <c r="S896" s="2"/>
      <c r="T896" s="2"/>
      <c r="U896" s="1"/>
      <c r="V896" s="1"/>
      <c r="W896" s="1"/>
      <c r="X896" s="1"/>
      <c r="Y896" s="1"/>
      <c r="Z896" s="1"/>
    </row>
    <row r="897" spans="1:26" ht="15.75" customHeight="1" x14ac:dyDescent="0.4">
      <c r="A897" s="1"/>
      <c r="B897" s="1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34"/>
      <c r="S897" s="2"/>
      <c r="T897" s="2"/>
      <c r="U897" s="1"/>
      <c r="V897" s="1"/>
      <c r="W897" s="1"/>
      <c r="X897" s="1"/>
      <c r="Y897" s="1"/>
      <c r="Z897" s="1"/>
    </row>
    <row r="898" spans="1:26" ht="15.75" customHeight="1" x14ac:dyDescent="0.4">
      <c r="A898" s="1"/>
      <c r="B898" s="1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34"/>
      <c r="S898" s="2"/>
      <c r="T898" s="2"/>
      <c r="U898" s="1"/>
      <c r="V898" s="1"/>
      <c r="W898" s="1"/>
      <c r="X898" s="1"/>
      <c r="Y898" s="1"/>
      <c r="Z898" s="1"/>
    </row>
    <row r="899" spans="1:26" ht="15.75" customHeight="1" x14ac:dyDescent="0.4">
      <c r="A899" s="1"/>
      <c r="B899" s="1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34"/>
      <c r="S899" s="2"/>
      <c r="T899" s="2"/>
      <c r="U899" s="1"/>
      <c r="V899" s="1"/>
      <c r="W899" s="1"/>
      <c r="X899" s="1"/>
      <c r="Y899" s="1"/>
      <c r="Z899" s="1"/>
    </row>
    <row r="900" spans="1:26" ht="15.75" customHeight="1" x14ac:dyDescent="0.4">
      <c r="A900" s="1"/>
      <c r="B900" s="1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34"/>
      <c r="S900" s="2"/>
      <c r="T900" s="2"/>
      <c r="U900" s="1"/>
      <c r="V900" s="1"/>
      <c r="W900" s="1"/>
      <c r="X900" s="1"/>
      <c r="Y900" s="1"/>
      <c r="Z900" s="1"/>
    </row>
    <row r="901" spans="1:26" ht="15.75" customHeight="1" x14ac:dyDescent="0.4">
      <c r="A901" s="1"/>
      <c r="B901" s="1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34"/>
      <c r="S901" s="2"/>
      <c r="T901" s="2"/>
      <c r="U901" s="1"/>
      <c r="V901" s="1"/>
      <c r="W901" s="1"/>
      <c r="X901" s="1"/>
      <c r="Y901" s="1"/>
      <c r="Z901" s="1"/>
    </row>
    <row r="902" spans="1:26" ht="15.75" customHeight="1" x14ac:dyDescent="0.4">
      <c r="A902" s="1"/>
      <c r="B902" s="1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34"/>
      <c r="S902" s="2"/>
      <c r="T902" s="2"/>
      <c r="U902" s="1"/>
      <c r="V902" s="1"/>
      <c r="W902" s="1"/>
      <c r="X902" s="1"/>
      <c r="Y902" s="1"/>
      <c r="Z902" s="1"/>
    </row>
    <row r="903" spans="1:26" ht="15.75" customHeight="1" x14ac:dyDescent="0.4">
      <c r="A903" s="1"/>
      <c r="B903" s="1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34"/>
      <c r="S903" s="2"/>
      <c r="T903" s="2"/>
      <c r="U903" s="1"/>
      <c r="V903" s="1"/>
      <c r="W903" s="1"/>
      <c r="X903" s="1"/>
      <c r="Y903" s="1"/>
      <c r="Z903" s="1"/>
    </row>
    <row r="904" spans="1:26" ht="15.75" customHeight="1" x14ac:dyDescent="0.4">
      <c r="A904" s="1"/>
      <c r="B904" s="1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34"/>
      <c r="S904" s="2"/>
      <c r="T904" s="2"/>
      <c r="U904" s="1"/>
      <c r="V904" s="1"/>
      <c r="W904" s="1"/>
      <c r="X904" s="1"/>
      <c r="Y904" s="1"/>
      <c r="Z904" s="1"/>
    </row>
    <row r="905" spans="1:26" ht="15.75" customHeight="1" x14ac:dyDescent="0.4">
      <c r="A905" s="1"/>
      <c r="B905" s="1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34"/>
      <c r="S905" s="2"/>
      <c r="T905" s="2"/>
      <c r="U905" s="1"/>
      <c r="V905" s="1"/>
      <c r="W905" s="1"/>
      <c r="X905" s="1"/>
      <c r="Y905" s="1"/>
      <c r="Z905" s="1"/>
    </row>
    <row r="906" spans="1:26" ht="15.75" customHeight="1" x14ac:dyDescent="0.4">
      <c r="A906" s="1"/>
      <c r="B906" s="1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34"/>
      <c r="S906" s="2"/>
      <c r="T906" s="2"/>
      <c r="U906" s="1"/>
      <c r="V906" s="1"/>
      <c r="W906" s="1"/>
      <c r="X906" s="1"/>
      <c r="Y906" s="1"/>
      <c r="Z906" s="1"/>
    </row>
    <row r="907" spans="1:26" ht="15.75" customHeight="1" x14ac:dyDescent="0.4">
      <c r="A907" s="1"/>
      <c r="B907" s="1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34"/>
      <c r="S907" s="2"/>
      <c r="T907" s="2"/>
      <c r="U907" s="1"/>
      <c r="V907" s="1"/>
      <c r="W907" s="1"/>
      <c r="X907" s="1"/>
      <c r="Y907" s="1"/>
      <c r="Z907" s="1"/>
    </row>
    <row r="908" spans="1:26" ht="15.75" customHeight="1" x14ac:dyDescent="0.4">
      <c r="A908" s="1"/>
      <c r="B908" s="1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34"/>
      <c r="S908" s="2"/>
      <c r="T908" s="2"/>
      <c r="U908" s="1"/>
      <c r="V908" s="1"/>
      <c r="W908" s="1"/>
      <c r="X908" s="1"/>
      <c r="Y908" s="1"/>
      <c r="Z908" s="1"/>
    </row>
    <row r="909" spans="1:26" ht="15.75" customHeight="1" x14ac:dyDescent="0.4">
      <c r="A909" s="1"/>
      <c r="B909" s="1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34"/>
      <c r="S909" s="2"/>
      <c r="T909" s="2"/>
      <c r="U909" s="1"/>
      <c r="V909" s="1"/>
      <c r="W909" s="1"/>
      <c r="X909" s="1"/>
      <c r="Y909" s="1"/>
      <c r="Z909" s="1"/>
    </row>
    <row r="910" spans="1:26" ht="15.75" customHeight="1" x14ac:dyDescent="0.4">
      <c r="A910" s="1"/>
      <c r="B910" s="1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34"/>
      <c r="S910" s="2"/>
      <c r="T910" s="2"/>
      <c r="U910" s="1"/>
      <c r="V910" s="1"/>
      <c r="W910" s="1"/>
      <c r="X910" s="1"/>
      <c r="Y910" s="1"/>
      <c r="Z910" s="1"/>
    </row>
    <row r="911" spans="1:26" ht="15.75" customHeight="1" x14ac:dyDescent="0.4">
      <c r="A911" s="1"/>
      <c r="B911" s="1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34"/>
      <c r="S911" s="2"/>
      <c r="T911" s="2"/>
      <c r="U911" s="1"/>
      <c r="V911" s="1"/>
      <c r="W911" s="1"/>
      <c r="X911" s="1"/>
      <c r="Y911" s="1"/>
      <c r="Z911" s="1"/>
    </row>
    <row r="912" spans="1:26" ht="15.75" customHeight="1" x14ac:dyDescent="0.4">
      <c r="A912" s="1"/>
      <c r="B912" s="1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34"/>
      <c r="S912" s="2"/>
      <c r="T912" s="2"/>
      <c r="U912" s="1"/>
      <c r="V912" s="1"/>
      <c r="W912" s="1"/>
      <c r="X912" s="1"/>
      <c r="Y912" s="1"/>
      <c r="Z912" s="1"/>
    </row>
    <row r="913" spans="1:26" ht="15.75" customHeight="1" x14ac:dyDescent="0.4">
      <c r="A913" s="1"/>
      <c r="B913" s="1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34"/>
      <c r="S913" s="2"/>
      <c r="T913" s="2"/>
      <c r="U913" s="1"/>
      <c r="V913" s="1"/>
      <c r="W913" s="1"/>
      <c r="X913" s="1"/>
      <c r="Y913" s="1"/>
      <c r="Z913" s="1"/>
    </row>
    <row r="914" spans="1:26" ht="15.75" customHeight="1" x14ac:dyDescent="0.4">
      <c r="A914" s="1"/>
      <c r="B914" s="1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34"/>
      <c r="S914" s="2"/>
      <c r="T914" s="2"/>
      <c r="U914" s="1"/>
      <c r="V914" s="1"/>
      <c r="W914" s="1"/>
      <c r="X914" s="1"/>
      <c r="Y914" s="1"/>
      <c r="Z914" s="1"/>
    </row>
    <row r="915" spans="1:26" ht="15.75" customHeight="1" x14ac:dyDescent="0.4">
      <c r="A915" s="1"/>
      <c r="B915" s="1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34"/>
      <c r="S915" s="2"/>
      <c r="T915" s="2"/>
      <c r="U915" s="1"/>
      <c r="V915" s="1"/>
      <c r="W915" s="1"/>
      <c r="X915" s="1"/>
      <c r="Y915" s="1"/>
      <c r="Z915" s="1"/>
    </row>
    <row r="916" spans="1:26" ht="15.75" customHeight="1" x14ac:dyDescent="0.4">
      <c r="A916" s="1"/>
      <c r="B916" s="1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34"/>
      <c r="S916" s="2"/>
      <c r="T916" s="2"/>
      <c r="U916" s="1"/>
      <c r="V916" s="1"/>
      <c r="W916" s="1"/>
      <c r="X916" s="1"/>
      <c r="Y916" s="1"/>
      <c r="Z916" s="1"/>
    </row>
    <row r="917" spans="1:26" ht="15.75" customHeight="1" x14ac:dyDescent="0.4">
      <c r="A917" s="1"/>
      <c r="B917" s="1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34"/>
      <c r="S917" s="2"/>
      <c r="T917" s="2"/>
      <c r="U917" s="1"/>
      <c r="V917" s="1"/>
      <c r="W917" s="1"/>
      <c r="X917" s="1"/>
      <c r="Y917" s="1"/>
      <c r="Z917" s="1"/>
    </row>
    <row r="918" spans="1:26" ht="15.75" customHeight="1" x14ac:dyDescent="0.4">
      <c r="A918" s="1"/>
      <c r="B918" s="1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34"/>
      <c r="S918" s="2"/>
      <c r="T918" s="2"/>
      <c r="U918" s="1"/>
      <c r="V918" s="1"/>
      <c r="W918" s="1"/>
      <c r="X918" s="1"/>
      <c r="Y918" s="1"/>
      <c r="Z918" s="1"/>
    </row>
    <row r="919" spans="1:26" ht="15.75" customHeight="1" x14ac:dyDescent="0.4">
      <c r="A919" s="1"/>
      <c r="B919" s="1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34"/>
      <c r="S919" s="2"/>
      <c r="T919" s="2"/>
      <c r="U919" s="1"/>
      <c r="V919" s="1"/>
      <c r="W919" s="1"/>
      <c r="X919" s="1"/>
      <c r="Y919" s="1"/>
      <c r="Z919" s="1"/>
    </row>
    <row r="920" spans="1:26" ht="15.75" customHeight="1" x14ac:dyDescent="0.4">
      <c r="A920" s="1"/>
      <c r="B920" s="1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34"/>
      <c r="S920" s="2"/>
      <c r="T920" s="2"/>
      <c r="U920" s="1"/>
      <c r="V920" s="1"/>
      <c r="W920" s="1"/>
      <c r="X920" s="1"/>
      <c r="Y920" s="1"/>
      <c r="Z920" s="1"/>
    </row>
    <row r="921" spans="1:26" ht="15.75" customHeight="1" x14ac:dyDescent="0.4">
      <c r="A921" s="1"/>
      <c r="B921" s="1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34"/>
      <c r="S921" s="2"/>
      <c r="T921" s="2"/>
      <c r="U921" s="1"/>
      <c r="V921" s="1"/>
      <c r="W921" s="1"/>
      <c r="X921" s="1"/>
      <c r="Y921" s="1"/>
      <c r="Z921" s="1"/>
    </row>
    <row r="922" spans="1:26" ht="15.75" customHeight="1" x14ac:dyDescent="0.4">
      <c r="A922" s="1"/>
      <c r="B922" s="1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34"/>
      <c r="S922" s="2"/>
      <c r="T922" s="2"/>
      <c r="U922" s="1"/>
      <c r="V922" s="1"/>
      <c r="W922" s="1"/>
      <c r="X922" s="1"/>
      <c r="Y922" s="1"/>
      <c r="Z922" s="1"/>
    </row>
    <row r="923" spans="1:26" ht="15.75" customHeight="1" x14ac:dyDescent="0.4">
      <c r="A923" s="1"/>
      <c r="B923" s="1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34"/>
      <c r="S923" s="2"/>
      <c r="T923" s="2"/>
      <c r="U923" s="1"/>
      <c r="V923" s="1"/>
      <c r="W923" s="1"/>
      <c r="X923" s="1"/>
      <c r="Y923" s="1"/>
      <c r="Z923" s="1"/>
    </row>
    <row r="924" spans="1:26" ht="15.75" customHeight="1" x14ac:dyDescent="0.4">
      <c r="A924" s="1"/>
      <c r="B924" s="1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34"/>
      <c r="S924" s="2"/>
      <c r="T924" s="2"/>
      <c r="U924" s="1"/>
      <c r="V924" s="1"/>
      <c r="W924" s="1"/>
      <c r="X924" s="1"/>
      <c r="Y924" s="1"/>
      <c r="Z924" s="1"/>
    </row>
    <row r="925" spans="1:26" ht="15.75" customHeight="1" x14ac:dyDescent="0.4">
      <c r="A925" s="1"/>
      <c r="B925" s="1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34"/>
      <c r="S925" s="2"/>
      <c r="T925" s="2"/>
      <c r="U925" s="1"/>
      <c r="V925" s="1"/>
      <c r="W925" s="1"/>
      <c r="X925" s="1"/>
      <c r="Y925" s="1"/>
      <c r="Z925" s="1"/>
    </row>
    <row r="926" spans="1:26" ht="15.75" customHeight="1" x14ac:dyDescent="0.4">
      <c r="A926" s="1"/>
      <c r="B926" s="1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34"/>
      <c r="S926" s="2"/>
      <c r="T926" s="2"/>
      <c r="U926" s="1"/>
      <c r="V926" s="1"/>
      <c r="W926" s="1"/>
      <c r="X926" s="1"/>
      <c r="Y926" s="1"/>
      <c r="Z926" s="1"/>
    </row>
    <row r="927" spans="1:26" ht="15.75" customHeight="1" x14ac:dyDescent="0.4">
      <c r="A927" s="1"/>
      <c r="B927" s="1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34"/>
      <c r="S927" s="2"/>
      <c r="T927" s="2"/>
      <c r="U927" s="1"/>
      <c r="V927" s="1"/>
      <c r="W927" s="1"/>
      <c r="X927" s="1"/>
      <c r="Y927" s="1"/>
      <c r="Z927" s="1"/>
    </row>
    <row r="928" spans="1:26" ht="15.75" customHeight="1" x14ac:dyDescent="0.4">
      <c r="A928" s="1"/>
      <c r="B928" s="1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34"/>
      <c r="S928" s="2"/>
      <c r="T928" s="2"/>
      <c r="U928" s="1"/>
      <c r="V928" s="1"/>
      <c r="W928" s="1"/>
      <c r="X928" s="1"/>
      <c r="Y928" s="1"/>
      <c r="Z928" s="1"/>
    </row>
    <row r="929" spans="1:26" ht="15.75" customHeight="1" x14ac:dyDescent="0.4">
      <c r="A929" s="1"/>
      <c r="B929" s="1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34"/>
      <c r="S929" s="2"/>
      <c r="T929" s="2"/>
      <c r="U929" s="1"/>
      <c r="V929" s="1"/>
      <c r="W929" s="1"/>
      <c r="X929" s="1"/>
      <c r="Y929" s="1"/>
      <c r="Z929" s="1"/>
    </row>
    <row r="930" spans="1:26" ht="15.75" customHeight="1" x14ac:dyDescent="0.4">
      <c r="A930" s="1"/>
      <c r="B930" s="1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34"/>
      <c r="S930" s="2"/>
      <c r="T930" s="2"/>
      <c r="U930" s="1"/>
      <c r="V930" s="1"/>
      <c r="W930" s="1"/>
      <c r="X930" s="1"/>
      <c r="Y930" s="1"/>
      <c r="Z930" s="1"/>
    </row>
    <row r="931" spans="1:26" ht="15.75" customHeight="1" x14ac:dyDescent="0.4">
      <c r="A931" s="1"/>
      <c r="B931" s="1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34"/>
      <c r="S931" s="2"/>
      <c r="T931" s="2"/>
      <c r="U931" s="1"/>
      <c r="V931" s="1"/>
      <c r="W931" s="1"/>
      <c r="X931" s="1"/>
      <c r="Y931" s="1"/>
      <c r="Z931" s="1"/>
    </row>
    <row r="932" spans="1:26" ht="15.75" customHeight="1" x14ac:dyDescent="0.4">
      <c r="A932" s="1"/>
      <c r="B932" s="1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34"/>
      <c r="S932" s="2"/>
      <c r="T932" s="2"/>
      <c r="U932" s="1"/>
      <c r="V932" s="1"/>
      <c r="W932" s="1"/>
      <c r="X932" s="1"/>
      <c r="Y932" s="1"/>
      <c r="Z932" s="1"/>
    </row>
    <row r="933" spans="1:26" ht="15.75" customHeight="1" x14ac:dyDescent="0.4">
      <c r="A933" s="1"/>
      <c r="B933" s="1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34"/>
      <c r="S933" s="2"/>
      <c r="T933" s="2"/>
      <c r="U933" s="1"/>
      <c r="V933" s="1"/>
      <c r="W933" s="1"/>
      <c r="X933" s="1"/>
      <c r="Y933" s="1"/>
      <c r="Z933" s="1"/>
    </row>
    <row r="934" spans="1:26" ht="15.75" customHeight="1" x14ac:dyDescent="0.4">
      <c r="A934" s="1"/>
      <c r="B934" s="1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34"/>
      <c r="S934" s="2"/>
      <c r="T934" s="2"/>
      <c r="U934" s="1"/>
      <c r="V934" s="1"/>
      <c r="W934" s="1"/>
      <c r="X934" s="1"/>
      <c r="Y934" s="1"/>
      <c r="Z934" s="1"/>
    </row>
    <row r="935" spans="1:26" ht="15.75" customHeight="1" x14ac:dyDescent="0.4">
      <c r="A935" s="1"/>
      <c r="B935" s="1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34"/>
      <c r="S935" s="2"/>
      <c r="T935" s="2"/>
      <c r="U935" s="1"/>
      <c r="V935" s="1"/>
      <c r="W935" s="1"/>
      <c r="X935" s="1"/>
      <c r="Y935" s="1"/>
      <c r="Z935" s="1"/>
    </row>
    <row r="936" spans="1:26" ht="15.75" customHeight="1" x14ac:dyDescent="0.4">
      <c r="A936" s="1"/>
      <c r="B936" s="1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34"/>
      <c r="S936" s="2"/>
      <c r="T936" s="2"/>
      <c r="U936" s="1"/>
      <c r="V936" s="1"/>
      <c r="W936" s="1"/>
      <c r="X936" s="1"/>
      <c r="Y936" s="1"/>
      <c r="Z936" s="1"/>
    </row>
    <row r="937" spans="1:26" ht="15.75" customHeight="1" x14ac:dyDescent="0.4">
      <c r="A937" s="1"/>
      <c r="B937" s="1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34"/>
      <c r="S937" s="2"/>
      <c r="T937" s="2"/>
      <c r="U937" s="1"/>
      <c r="V937" s="1"/>
      <c r="W937" s="1"/>
      <c r="X937" s="1"/>
      <c r="Y937" s="1"/>
      <c r="Z937" s="1"/>
    </row>
    <row r="938" spans="1:26" ht="15.75" customHeight="1" x14ac:dyDescent="0.4">
      <c r="A938" s="1"/>
      <c r="B938" s="1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34"/>
      <c r="S938" s="2"/>
      <c r="T938" s="2"/>
      <c r="U938" s="1"/>
      <c r="V938" s="1"/>
      <c r="W938" s="1"/>
      <c r="X938" s="1"/>
      <c r="Y938" s="1"/>
      <c r="Z938" s="1"/>
    </row>
    <row r="939" spans="1:26" ht="15.75" customHeight="1" x14ac:dyDescent="0.4">
      <c r="A939" s="1"/>
      <c r="B939" s="1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34"/>
      <c r="S939" s="2"/>
      <c r="T939" s="2"/>
      <c r="U939" s="1"/>
      <c r="V939" s="1"/>
      <c r="W939" s="1"/>
      <c r="X939" s="1"/>
      <c r="Y939" s="1"/>
      <c r="Z939" s="1"/>
    </row>
    <row r="940" spans="1:26" ht="15.75" customHeight="1" x14ac:dyDescent="0.4">
      <c r="A940" s="1"/>
      <c r="B940" s="1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34"/>
      <c r="S940" s="2"/>
      <c r="T940" s="2"/>
      <c r="U940" s="1"/>
      <c r="V940" s="1"/>
      <c r="W940" s="1"/>
      <c r="X940" s="1"/>
      <c r="Y940" s="1"/>
      <c r="Z940" s="1"/>
    </row>
    <row r="941" spans="1:26" ht="15.75" customHeight="1" x14ac:dyDescent="0.4">
      <c r="A941" s="1"/>
      <c r="B941" s="1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34"/>
      <c r="S941" s="2"/>
      <c r="T941" s="2"/>
      <c r="U941" s="1"/>
      <c r="V941" s="1"/>
      <c r="W941" s="1"/>
      <c r="X941" s="1"/>
      <c r="Y941" s="1"/>
      <c r="Z941" s="1"/>
    </row>
    <row r="942" spans="1:26" ht="15.75" customHeight="1" x14ac:dyDescent="0.4">
      <c r="A942" s="1"/>
      <c r="B942" s="1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34"/>
      <c r="S942" s="2"/>
      <c r="T942" s="2"/>
      <c r="U942" s="1"/>
      <c r="V942" s="1"/>
      <c r="W942" s="1"/>
      <c r="X942" s="1"/>
      <c r="Y942" s="1"/>
      <c r="Z942" s="1"/>
    </row>
    <row r="943" spans="1:26" ht="15.75" customHeight="1" x14ac:dyDescent="0.4">
      <c r="A943" s="1"/>
      <c r="B943" s="1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34"/>
      <c r="S943" s="2"/>
      <c r="T943" s="2"/>
      <c r="U943" s="1"/>
      <c r="V943" s="1"/>
      <c r="W943" s="1"/>
      <c r="X943" s="1"/>
      <c r="Y943" s="1"/>
      <c r="Z943" s="1"/>
    </row>
    <row r="944" spans="1:26" ht="15.75" customHeight="1" x14ac:dyDescent="0.4">
      <c r="A944" s="1"/>
      <c r="B944" s="1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34"/>
      <c r="S944" s="2"/>
      <c r="T944" s="2"/>
      <c r="U944" s="1"/>
      <c r="V944" s="1"/>
      <c r="W944" s="1"/>
      <c r="X944" s="1"/>
      <c r="Y944" s="1"/>
      <c r="Z944" s="1"/>
    </row>
    <row r="945" spans="1:26" ht="15.75" customHeight="1" x14ac:dyDescent="0.4">
      <c r="A945" s="1"/>
      <c r="B945" s="1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34"/>
      <c r="S945" s="2"/>
      <c r="T945" s="2"/>
      <c r="U945" s="1"/>
      <c r="V945" s="1"/>
      <c r="W945" s="1"/>
      <c r="X945" s="1"/>
      <c r="Y945" s="1"/>
      <c r="Z945" s="1"/>
    </row>
    <row r="946" spans="1:26" ht="15.75" customHeight="1" x14ac:dyDescent="0.4">
      <c r="A946" s="1"/>
      <c r="B946" s="1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34"/>
      <c r="S946" s="2"/>
      <c r="T946" s="2"/>
      <c r="U946" s="1"/>
      <c r="V946" s="1"/>
      <c r="W946" s="1"/>
      <c r="X946" s="1"/>
      <c r="Y946" s="1"/>
      <c r="Z946" s="1"/>
    </row>
    <row r="947" spans="1:26" ht="15.75" customHeight="1" x14ac:dyDescent="0.4">
      <c r="A947" s="1"/>
      <c r="B947" s="1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34"/>
      <c r="S947" s="2"/>
      <c r="T947" s="2"/>
      <c r="U947" s="1"/>
      <c r="V947" s="1"/>
      <c r="W947" s="1"/>
      <c r="X947" s="1"/>
      <c r="Y947" s="1"/>
      <c r="Z947" s="1"/>
    </row>
    <row r="948" spans="1:26" ht="15.75" customHeight="1" x14ac:dyDescent="0.4">
      <c r="A948" s="1"/>
      <c r="B948" s="1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34"/>
      <c r="S948" s="2"/>
      <c r="T948" s="2"/>
      <c r="U948" s="1"/>
      <c r="V948" s="1"/>
      <c r="W948" s="1"/>
      <c r="X948" s="1"/>
      <c r="Y948" s="1"/>
      <c r="Z948" s="1"/>
    </row>
    <row r="949" spans="1:26" ht="15.75" customHeight="1" x14ac:dyDescent="0.4">
      <c r="A949" s="1"/>
      <c r="B949" s="1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34"/>
      <c r="S949" s="2"/>
      <c r="T949" s="2"/>
      <c r="U949" s="1"/>
      <c r="V949" s="1"/>
      <c r="W949" s="1"/>
      <c r="X949" s="1"/>
      <c r="Y949" s="1"/>
      <c r="Z949" s="1"/>
    </row>
    <row r="950" spans="1:26" ht="15.75" customHeight="1" x14ac:dyDescent="0.4">
      <c r="A950" s="1"/>
      <c r="B950" s="1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34"/>
      <c r="S950" s="2"/>
      <c r="T950" s="2"/>
      <c r="U950" s="1"/>
      <c r="V950" s="1"/>
      <c r="W950" s="1"/>
      <c r="X950" s="1"/>
      <c r="Y950" s="1"/>
      <c r="Z950" s="1"/>
    </row>
    <row r="951" spans="1:26" ht="15.75" customHeight="1" x14ac:dyDescent="0.4">
      <c r="A951" s="1"/>
      <c r="B951" s="1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34"/>
      <c r="S951" s="2"/>
      <c r="T951" s="2"/>
      <c r="U951" s="1"/>
      <c r="V951" s="1"/>
      <c r="W951" s="1"/>
      <c r="X951" s="1"/>
      <c r="Y951" s="1"/>
      <c r="Z951" s="1"/>
    </row>
    <row r="952" spans="1:26" ht="15.75" customHeight="1" x14ac:dyDescent="0.4">
      <c r="A952" s="1"/>
      <c r="B952" s="1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34"/>
      <c r="S952" s="2"/>
      <c r="T952" s="2"/>
      <c r="U952" s="1"/>
      <c r="V952" s="1"/>
      <c r="W952" s="1"/>
      <c r="X952" s="1"/>
      <c r="Y952" s="1"/>
      <c r="Z952" s="1"/>
    </row>
    <row r="953" spans="1:26" ht="15.75" customHeight="1" x14ac:dyDescent="0.4">
      <c r="A953" s="1"/>
      <c r="B953" s="1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34"/>
      <c r="S953" s="2"/>
      <c r="T953" s="2"/>
      <c r="U953" s="1"/>
      <c r="V953" s="1"/>
      <c r="W953" s="1"/>
      <c r="X953" s="1"/>
      <c r="Y953" s="1"/>
      <c r="Z953" s="1"/>
    </row>
    <row r="954" spans="1:26" ht="15.75" customHeight="1" x14ac:dyDescent="0.4">
      <c r="A954" s="1"/>
      <c r="B954" s="1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34"/>
      <c r="S954" s="2"/>
      <c r="T954" s="2"/>
      <c r="U954" s="1"/>
      <c r="V954" s="1"/>
      <c r="W954" s="1"/>
      <c r="X954" s="1"/>
      <c r="Y954" s="1"/>
      <c r="Z954" s="1"/>
    </row>
    <row r="955" spans="1:26" ht="15.75" customHeight="1" x14ac:dyDescent="0.4">
      <c r="A955" s="1"/>
      <c r="B955" s="1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34"/>
      <c r="S955" s="2"/>
      <c r="T955" s="2"/>
      <c r="U955" s="1"/>
      <c r="V955" s="1"/>
      <c r="W955" s="1"/>
      <c r="X955" s="1"/>
      <c r="Y955" s="1"/>
      <c r="Z955" s="1"/>
    </row>
    <row r="956" spans="1:26" ht="15.75" customHeight="1" x14ac:dyDescent="0.4">
      <c r="A956" s="1"/>
      <c r="B956" s="1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34"/>
      <c r="S956" s="2"/>
      <c r="T956" s="2"/>
      <c r="U956" s="1"/>
      <c r="V956" s="1"/>
      <c r="W956" s="1"/>
      <c r="X956" s="1"/>
      <c r="Y956" s="1"/>
      <c r="Z956" s="1"/>
    </row>
    <row r="957" spans="1:26" ht="15.75" customHeight="1" x14ac:dyDescent="0.4">
      <c r="A957" s="1"/>
      <c r="B957" s="1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34"/>
      <c r="S957" s="2"/>
      <c r="T957" s="2"/>
      <c r="U957" s="1"/>
      <c r="V957" s="1"/>
      <c r="W957" s="1"/>
      <c r="X957" s="1"/>
      <c r="Y957" s="1"/>
      <c r="Z957" s="1"/>
    </row>
    <row r="958" spans="1:26" ht="15.75" customHeight="1" x14ac:dyDescent="0.4">
      <c r="A958" s="1"/>
      <c r="B958" s="1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34"/>
      <c r="S958" s="2"/>
      <c r="T958" s="2"/>
      <c r="U958" s="1"/>
      <c r="V958" s="1"/>
      <c r="W958" s="1"/>
      <c r="X958" s="1"/>
      <c r="Y958" s="1"/>
      <c r="Z958" s="1"/>
    </row>
    <row r="959" spans="1:26" ht="15.75" customHeight="1" x14ac:dyDescent="0.4">
      <c r="A959" s="1"/>
      <c r="B959" s="1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34"/>
      <c r="S959" s="2"/>
      <c r="T959" s="2"/>
      <c r="U959" s="1"/>
      <c r="V959" s="1"/>
      <c r="W959" s="1"/>
      <c r="X959" s="1"/>
      <c r="Y959" s="1"/>
      <c r="Z959" s="1"/>
    </row>
    <row r="960" spans="1:26" ht="15.75" customHeight="1" x14ac:dyDescent="0.4">
      <c r="A960" s="1"/>
      <c r="B960" s="1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34"/>
      <c r="S960" s="2"/>
      <c r="T960" s="2"/>
      <c r="U960" s="1"/>
      <c r="V960" s="1"/>
      <c r="W960" s="1"/>
      <c r="X960" s="1"/>
      <c r="Y960" s="1"/>
      <c r="Z960" s="1"/>
    </row>
    <row r="961" spans="1:26" ht="15.75" customHeight="1" x14ac:dyDescent="0.4">
      <c r="A961" s="1"/>
      <c r="B961" s="1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34"/>
      <c r="S961" s="2"/>
      <c r="T961" s="2"/>
      <c r="U961" s="1"/>
      <c r="V961" s="1"/>
      <c r="W961" s="1"/>
      <c r="X961" s="1"/>
      <c r="Y961" s="1"/>
      <c r="Z961" s="1"/>
    </row>
    <row r="962" spans="1:26" ht="15.75" customHeight="1" x14ac:dyDescent="0.4">
      <c r="A962" s="1"/>
      <c r="B962" s="1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34"/>
      <c r="S962" s="2"/>
      <c r="T962" s="2"/>
      <c r="U962" s="1"/>
      <c r="V962" s="1"/>
      <c r="W962" s="1"/>
      <c r="X962" s="1"/>
      <c r="Y962" s="1"/>
      <c r="Z962" s="1"/>
    </row>
    <row r="963" spans="1:26" ht="15.75" customHeight="1" x14ac:dyDescent="0.4">
      <c r="A963" s="1"/>
      <c r="B963" s="1"/>
      <c r="C963" s="1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34"/>
      <c r="S963" s="2"/>
      <c r="T963" s="2"/>
      <c r="U963" s="1"/>
      <c r="V963" s="1"/>
      <c r="W963" s="1"/>
      <c r="X963" s="1"/>
      <c r="Y963" s="1"/>
      <c r="Z963" s="1"/>
    </row>
    <row r="964" spans="1:26" ht="15.75" customHeight="1" x14ac:dyDescent="0.4">
      <c r="A964" s="1"/>
      <c r="B964" s="1"/>
      <c r="C964" s="1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34"/>
      <c r="S964" s="2"/>
      <c r="T964" s="2"/>
      <c r="U964" s="1"/>
      <c r="V964" s="1"/>
      <c r="W964" s="1"/>
      <c r="X964" s="1"/>
      <c r="Y964" s="1"/>
      <c r="Z964" s="1"/>
    </row>
    <row r="965" spans="1:26" ht="15.75" customHeight="1" x14ac:dyDescent="0.4">
      <c r="A965" s="1"/>
      <c r="B965" s="1"/>
      <c r="C965" s="1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34"/>
      <c r="S965" s="2"/>
      <c r="T965" s="2"/>
      <c r="U965" s="1"/>
      <c r="V965" s="1"/>
      <c r="W965" s="1"/>
      <c r="X965" s="1"/>
      <c r="Y965" s="1"/>
      <c r="Z965" s="1"/>
    </row>
    <row r="966" spans="1:26" ht="15.75" customHeight="1" x14ac:dyDescent="0.4">
      <c r="A966" s="1"/>
      <c r="B966" s="1"/>
      <c r="C966" s="1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34"/>
      <c r="S966" s="2"/>
      <c r="T966" s="2"/>
      <c r="U966" s="1"/>
      <c r="V966" s="1"/>
      <c r="W966" s="1"/>
      <c r="X966" s="1"/>
      <c r="Y966" s="1"/>
      <c r="Z966" s="1"/>
    </row>
    <row r="967" spans="1:26" ht="15.75" customHeight="1" x14ac:dyDescent="0.4">
      <c r="A967" s="1"/>
      <c r="B967" s="1"/>
      <c r="C967" s="1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34"/>
      <c r="S967" s="2"/>
      <c r="T967" s="2"/>
      <c r="U967" s="1"/>
      <c r="V967" s="1"/>
      <c r="W967" s="1"/>
      <c r="X967" s="1"/>
      <c r="Y967" s="1"/>
      <c r="Z967" s="1"/>
    </row>
    <row r="968" spans="1:26" ht="15.75" customHeight="1" x14ac:dyDescent="0.4">
      <c r="A968" s="1"/>
      <c r="B968" s="1"/>
      <c r="C968" s="1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34"/>
      <c r="S968" s="2"/>
      <c r="T968" s="2"/>
      <c r="U968" s="1"/>
      <c r="V968" s="1"/>
      <c r="W968" s="1"/>
      <c r="X968" s="1"/>
      <c r="Y968" s="1"/>
      <c r="Z968" s="1"/>
    </row>
    <row r="969" spans="1:26" ht="15.75" customHeight="1" x14ac:dyDescent="0.4">
      <c r="A969" s="1"/>
      <c r="B969" s="1"/>
      <c r="C969" s="1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34"/>
      <c r="S969" s="2"/>
      <c r="T969" s="2"/>
      <c r="U969" s="1"/>
      <c r="V969" s="1"/>
      <c r="W969" s="1"/>
      <c r="X969" s="1"/>
      <c r="Y969" s="1"/>
      <c r="Z969" s="1"/>
    </row>
    <row r="970" spans="1:26" ht="15.75" customHeight="1" x14ac:dyDescent="0.4">
      <c r="A970" s="1"/>
      <c r="B970" s="1"/>
      <c r="C970" s="1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34"/>
      <c r="S970" s="2"/>
      <c r="T970" s="2"/>
      <c r="U970" s="1"/>
      <c r="V970" s="1"/>
      <c r="W970" s="1"/>
      <c r="X970" s="1"/>
      <c r="Y970" s="1"/>
      <c r="Z970" s="1"/>
    </row>
    <row r="971" spans="1:26" ht="15.75" customHeight="1" x14ac:dyDescent="0.4">
      <c r="A971" s="1"/>
      <c r="B971" s="1"/>
      <c r="C971" s="1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34"/>
      <c r="S971" s="2"/>
      <c r="T971" s="2"/>
      <c r="U971" s="1"/>
      <c r="V971" s="1"/>
      <c r="W971" s="1"/>
      <c r="X971" s="1"/>
      <c r="Y971" s="1"/>
      <c r="Z971" s="1"/>
    </row>
    <row r="972" spans="1:26" ht="15.75" customHeight="1" x14ac:dyDescent="0.4">
      <c r="A972" s="1"/>
      <c r="B972" s="1"/>
      <c r="C972" s="1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34"/>
      <c r="S972" s="2"/>
      <c r="T972" s="2"/>
      <c r="U972" s="1"/>
      <c r="V972" s="1"/>
      <c r="W972" s="1"/>
      <c r="X972" s="1"/>
      <c r="Y972" s="1"/>
      <c r="Z972" s="1"/>
    </row>
    <row r="973" spans="1:26" ht="15.75" customHeight="1" x14ac:dyDescent="0.4">
      <c r="A973" s="1"/>
      <c r="B973" s="1"/>
      <c r="C973" s="1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34"/>
      <c r="S973" s="2"/>
      <c r="T973" s="2"/>
      <c r="U973" s="1"/>
      <c r="V973" s="1"/>
      <c r="W973" s="1"/>
      <c r="X973" s="1"/>
      <c r="Y973" s="1"/>
      <c r="Z973" s="1"/>
    </row>
    <row r="974" spans="1:26" ht="15.75" customHeight="1" x14ac:dyDescent="0.4">
      <c r="A974" s="1"/>
      <c r="B974" s="1"/>
      <c r="C974" s="1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34"/>
      <c r="S974" s="2"/>
      <c r="T974" s="2"/>
      <c r="U974" s="1"/>
      <c r="V974" s="1"/>
      <c r="W974" s="1"/>
      <c r="X974" s="1"/>
      <c r="Y974" s="1"/>
      <c r="Z974" s="1"/>
    </row>
    <row r="975" spans="1:26" ht="15.75" customHeight="1" x14ac:dyDescent="0.4">
      <c r="A975" s="1"/>
      <c r="B975" s="1"/>
      <c r="C975" s="1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34"/>
      <c r="S975" s="2"/>
      <c r="T975" s="2"/>
      <c r="U975" s="1"/>
      <c r="V975" s="1"/>
      <c r="W975" s="1"/>
      <c r="X975" s="1"/>
      <c r="Y975" s="1"/>
      <c r="Z975" s="1"/>
    </row>
    <row r="976" spans="1:26" ht="15.75" customHeight="1" x14ac:dyDescent="0.4">
      <c r="A976" s="1"/>
      <c r="B976" s="1"/>
      <c r="C976" s="1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34"/>
      <c r="S976" s="2"/>
      <c r="T976" s="2"/>
      <c r="U976" s="1"/>
      <c r="V976" s="1"/>
      <c r="W976" s="1"/>
      <c r="X976" s="1"/>
      <c r="Y976" s="1"/>
      <c r="Z976" s="1"/>
    </row>
    <row r="977" spans="1:26" ht="15.75" customHeight="1" x14ac:dyDescent="0.4">
      <c r="A977" s="1"/>
      <c r="B977" s="1"/>
      <c r="C977" s="1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34"/>
      <c r="S977" s="2"/>
      <c r="T977" s="2"/>
      <c r="U977" s="1"/>
      <c r="V977" s="1"/>
      <c r="W977" s="1"/>
      <c r="X977" s="1"/>
      <c r="Y977" s="1"/>
      <c r="Z977" s="1"/>
    </row>
    <row r="978" spans="1:26" ht="15.75" customHeight="1" x14ac:dyDescent="0.4">
      <c r="A978" s="1"/>
      <c r="B978" s="1"/>
      <c r="C978" s="1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34"/>
      <c r="S978" s="2"/>
      <c r="T978" s="2"/>
      <c r="U978" s="1"/>
      <c r="V978" s="1"/>
      <c r="W978" s="1"/>
      <c r="X978" s="1"/>
      <c r="Y978" s="1"/>
      <c r="Z978" s="1"/>
    </row>
    <row r="979" spans="1:26" ht="15.75" customHeight="1" x14ac:dyDescent="0.4">
      <c r="A979" s="1"/>
      <c r="B979" s="1"/>
      <c r="C979" s="1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34"/>
      <c r="S979" s="2"/>
      <c r="T979" s="2"/>
      <c r="U979" s="1"/>
      <c r="V979" s="1"/>
      <c r="W979" s="1"/>
      <c r="X979" s="1"/>
      <c r="Y979" s="1"/>
      <c r="Z979" s="1"/>
    </row>
    <row r="980" spans="1:26" ht="15.75" customHeight="1" x14ac:dyDescent="0.4">
      <c r="A980" s="1"/>
      <c r="B980" s="1"/>
      <c r="C980" s="1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34"/>
      <c r="S980" s="2"/>
      <c r="T980" s="2"/>
      <c r="U980" s="1"/>
      <c r="V980" s="1"/>
      <c r="W980" s="1"/>
      <c r="X980" s="1"/>
      <c r="Y980" s="1"/>
      <c r="Z980" s="1"/>
    </row>
    <row r="981" spans="1:26" ht="15.75" customHeight="1" x14ac:dyDescent="0.4">
      <c r="A981" s="1"/>
      <c r="B981" s="1"/>
      <c r="C981" s="1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34"/>
      <c r="S981" s="2"/>
      <c r="T981" s="2"/>
      <c r="U981" s="1"/>
      <c r="V981" s="1"/>
      <c r="W981" s="1"/>
      <c r="X981" s="1"/>
      <c r="Y981" s="1"/>
      <c r="Z981" s="1"/>
    </row>
    <row r="982" spans="1:26" ht="15.75" customHeight="1" x14ac:dyDescent="0.4">
      <c r="A982" s="1"/>
      <c r="B982" s="1"/>
      <c r="C982" s="1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34"/>
      <c r="S982" s="2"/>
      <c r="T982" s="2"/>
      <c r="U982" s="1"/>
      <c r="V982" s="1"/>
      <c r="W982" s="1"/>
      <c r="X982" s="1"/>
      <c r="Y982" s="1"/>
      <c r="Z982" s="1"/>
    </row>
    <row r="983" spans="1:26" ht="15.75" customHeight="1" x14ac:dyDescent="0.4">
      <c r="A983" s="1"/>
      <c r="B983" s="1"/>
      <c r="C983" s="1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34"/>
      <c r="S983" s="2"/>
      <c r="T983" s="2"/>
      <c r="U983" s="1"/>
      <c r="V983" s="1"/>
      <c r="W983" s="1"/>
      <c r="X983" s="1"/>
      <c r="Y983" s="1"/>
      <c r="Z983" s="1"/>
    </row>
    <row r="984" spans="1:26" ht="15.75" customHeight="1" x14ac:dyDescent="0.4">
      <c r="A984" s="1"/>
      <c r="B984" s="1"/>
      <c r="C984" s="1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34"/>
      <c r="S984" s="2"/>
      <c r="T984" s="2"/>
      <c r="U984" s="1"/>
      <c r="V984" s="1"/>
      <c r="W984" s="1"/>
      <c r="X984" s="1"/>
      <c r="Y984" s="1"/>
      <c r="Z984" s="1"/>
    </row>
    <row r="985" spans="1:26" ht="15.75" customHeight="1" x14ac:dyDescent="0.4">
      <c r="A985" s="1"/>
      <c r="B985" s="1"/>
      <c r="C985" s="1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34"/>
      <c r="S985" s="2"/>
      <c r="T985" s="2"/>
      <c r="U985" s="1"/>
      <c r="V985" s="1"/>
      <c r="W985" s="1"/>
      <c r="X985" s="1"/>
      <c r="Y985" s="1"/>
      <c r="Z985" s="1"/>
    </row>
    <row r="986" spans="1:26" ht="15.75" customHeight="1" x14ac:dyDescent="0.4">
      <c r="A986" s="1"/>
      <c r="B986" s="1"/>
      <c r="C986" s="1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34"/>
      <c r="S986" s="2"/>
      <c r="T986" s="2"/>
      <c r="U986" s="1"/>
      <c r="V986" s="1"/>
      <c r="W986" s="1"/>
      <c r="X986" s="1"/>
      <c r="Y986" s="1"/>
      <c r="Z986" s="1"/>
    </row>
    <row r="987" spans="1:26" ht="15.75" customHeight="1" x14ac:dyDescent="0.4">
      <c r="A987" s="1"/>
      <c r="B987" s="1"/>
      <c r="C987" s="1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34"/>
      <c r="S987" s="2"/>
      <c r="T987" s="2"/>
      <c r="U987" s="1"/>
      <c r="V987" s="1"/>
      <c r="W987" s="1"/>
      <c r="X987" s="1"/>
      <c r="Y987" s="1"/>
      <c r="Z987" s="1"/>
    </row>
    <row r="988" spans="1:26" ht="15.75" customHeight="1" x14ac:dyDescent="0.4">
      <c r="A988" s="1"/>
      <c r="B988" s="1"/>
      <c r="C988" s="1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34"/>
      <c r="S988" s="2"/>
      <c r="T988" s="2"/>
      <c r="U988" s="1"/>
      <c r="V988" s="1"/>
      <c r="W988" s="1"/>
      <c r="X988" s="1"/>
      <c r="Y988" s="1"/>
      <c r="Z988" s="1"/>
    </row>
    <row r="989" spans="1:26" ht="15.75" customHeight="1" x14ac:dyDescent="0.4">
      <c r="A989" s="1"/>
      <c r="B989" s="1"/>
      <c r="C989" s="1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34"/>
      <c r="S989" s="2"/>
      <c r="T989" s="2"/>
      <c r="U989" s="1"/>
      <c r="V989" s="1"/>
      <c r="W989" s="1"/>
      <c r="X989" s="1"/>
      <c r="Y989" s="1"/>
      <c r="Z989" s="1"/>
    </row>
    <row r="990" spans="1:26" ht="15.75" customHeight="1" x14ac:dyDescent="0.4">
      <c r="A990" s="1"/>
      <c r="B990" s="1"/>
      <c r="C990" s="1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34"/>
      <c r="S990" s="2"/>
      <c r="T990" s="2"/>
      <c r="U990" s="1"/>
      <c r="V990" s="1"/>
      <c r="W990" s="1"/>
      <c r="X990" s="1"/>
      <c r="Y990" s="1"/>
      <c r="Z990" s="1"/>
    </row>
    <row r="991" spans="1:26" ht="15.75" customHeight="1" x14ac:dyDescent="0.4">
      <c r="A991" s="1"/>
      <c r="B991" s="1"/>
      <c r="C991" s="1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34"/>
      <c r="S991" s="2"/>
      <c r="T991" s="2"/>
      <c r="U991" s="1"/>
      <c r="V991" s="1"/>
      <c r="W991" s="1"/>
      <c r="X991" s="1"/>
      <c r="Y991" s="1"/>
      <c r="Z991" s="1"/>
    </row>
    <row r="992" spans="1:26" ht="15.75" customHeight="1" x14ac:dyDescent="0.4">
      <c r="A992" s="1"/>
      <c r="B992" s="1"/>
      <c r="C992" s="1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34"/>
      <c r="S992" s="2"/>
      <c r="T992" s="2"/>
      <c r="U992" s="1"/>
      <c r="V992" s="1"/>
      <c r="W992" s="1"/>
      <c r="X992" s="1"/>
      <c r="Y992" s="1"/>
      <c r="Z992" s="1"/>
    </row>
    <row r="993" spans="1:26" ht="15.75" customHeight="1" x14ac:dyDescent="0.4">
      <c r="A993" s="1"/>
      <c r="B993" s="1"/>
      <c r="C993" s="1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34"/>
      <c r="S993" s="2"/>
      <c r="T993" s="2"/>
      <c r="U993" s="1"/>
      <c r="V993" s="1"/>
      <c r="W993" s="1"/>
      <c r="X993" s="1"/>
      <c r="Y993" s="1"/>
      <c r="Z993" s="1"/>
    </row>
    <row r="994" spans="1:26" ht="15.75" customHeight="1" x14ac:dyDescent="0.4">
      <c r="A994" s="1"/>
      <c r="B994" s="1"/>
      <c r="C994" s="1"/>
      <c r="D994" s="1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34"/>
      <c r="S994" s="2"/>
      <c r="T994" s="2"/>
      <c r="U994" s="1"/>
      <c r="V994" s="1"/>
      <c r="W994" s="1"/>
      <c r="X994" s="1"/>
      <c r="Y994" s="1"/>
      <c r="Z994" s="1"/>
    </row>
    <row r="995" spans="1:26" ht="15.75" customHeight="1" x14ac:dyDescent="0.4">
      <c r="A995" s="1"/>
      <c r="B995" s="1"/>
      <c r="C995" s="1"/>
      <c r="D995" s="1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34"/>
      <c r="S995" s="2"/>
      <c r="T995" s="2"/>
      <c r="U995" s="1"/>
      <c r="V995" s="1"/>
      <c r="W995" s="1"/>
      <c r="X995" s="1"/>
      <c r="Y995" s="1"/>
      <c r="Z995" s="1"/>
    </row>
    <row r="996" spans="1:26" ht="15.75" customHeight="1" x14ac:dyDescent="0.4">
      <c r="A996" s="1"/>
      <c r="B996" s="1"/>
      <c r="C996" s="1"/>
      <c r="D996" s="1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34"/>
      <c r="S996" s="2"/>
      <c r="T996" s="2"/>
      <c r="U996" s="1"/>
      <c r="V996" s="1"/>
      <c r="W996" s="1"/>
      <c r="X996" s="1"/>
      <c r="Y996" s="1"/>
      <c r="Z996" s="1"/>
    </row>
    <row r="997" spans="1:26" ht="15.75" customHeight="1" x14ac:dyDescent="0.4">
      <c r="A997" s="1"/>
      <c r="B997" s="1"/>
      <c r="C997" s="1"/>
      <c r="D997" s="1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34"/>
      <c r="S997" s="2"/>
      <c r="T997" s="2"/>
      <c r="U997" s="1"/>
      <c r="V997" s="1"/>
      <c r="W997" s="1"/>
      <c r="X997" s="1"/>
      <c r="Y997" s="1"/>
      <c r="Z997" s="1"/>
    </row>
    <row r="998" spans="1:26" ht="15.75" customHeight="1" x14ac:dyDescent="0.4">
      <c r="A998" s="1"/>
      <c r="B998" s="1"/>
      <c r="C998" s="1"/>
      <c r="D998" s="1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34"/>
      <c r="S998" s="2"/>
      <c r="T998" s="2"/>
      <c r="U998" s="1"/>
      <c r="V998" s="1"/>
      <c r="W998" s="1"/>
      <c r="X998" s="1"/>
      <c r="Y998" s="1"/>
      <c r="Z998" s="1"/>
    </row>
    <row r="999" spans="1:26" ht="15.75" customHeight="1" x14ac:dyDescent="0.4">
      <c r="A999" s="1"/>
      <c r="B999" s="1"/>
      <c r="C999" s="1"/>
      <c r="D999" s="1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34"/>
      <c r="S999" s="2"/>
      <c r="T999" s="2"/>
      <c r="U999" s="1"/>
      <c r="V999" s="1"/>
      <c r="W999" s="1"/>
      <c r="X999" s="1"/>
      <c r="Y999" s="1"/>
      <c r="Z999" s="1"/>
    </row>
    <row r="1000" spans="1:26" ht="15.75" customHeight="1" x14ac:dyDescent="0.4">
      <c r="A1000" s="1"/>
      <c r="B1000" s="1"/>
      <c r="C1000" s="1"/>
      <c r="D1000" s="1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34"/>
      <c r="S1000" s="2"/>
      <c r="T1000" s="2"/>
      <c r="U1000" s="1"/>
      <c r="V1000" s="1"/>
      <c r="W1000" s="1"/>
      <c r="X1000" s="1"/>
      <c r="Y1000" s="1"/>
      <c r="Z1000" s="1"/>
    </row>
  </sheetData>
  <mergeCells count="632">
    <mergeCell ref="A125:A130"/>
    <mergeCell ref="A63:A68"/>
    <mergeCell ref="A69:A72"/>
    <mergeCell ref="K117:K120"/>
    <mergeCell ref="K121:K124"/>
    <mergeCell ref="L121:L124"/>
    <mergeCell ref="M121:M124"/>
    <mergeCell ref="N121:N124"/>
    <mergeCell ref="O121:O124"/>
    <mergeCell ref="C113:C116"/>
    <mergeCell ref="C117:C124"/>
    <mergeCell ref="L117:L120"/>
    <mergeCell ref="M117:M120"/>
    <mergeCell ref="N117:N120"/>
    <mergeCell ref="O117:O120"/>
    <mergeCell ref="D121:D124"/>
    <mergeCell ref="D113:D116"/>
    <mergeCell ref="D117:D120"/>
    <mergeCell ref="B109:B112"/>
    <mergeCell ref="B113:B116"/>
    <mergeCell ref="B117:B120"/>
    <mergeCell ref="D69:D72"/>
    <mergeCell ref="A73:A84"/>
    <mergeCell ref="A85:A92"/>
    <mergeCell ref="A93:A100"/>
    <mergeCell ref="A101:A104"/>
    <mergeCell ref="A105:A112"/>
    <mergeCell ref="A113:A116"/>
    <mergeCell ref="A117:A124"/>
    <mergeCell ref="D73:D78"/>
    <mergeCell ref="D79:D84"/>
    <mergeCell ref="B69:B72"/>
    <mergeCell ref="C69:C72"/>
    <mergeCell ref="B73:B78"/>
    <mergeCell ref="B79:B84"/>
    <mergeCell ref="B85:B88"/>
    <mergeCell ref="D105:D108"/>
    <mergeCell ref="D109:D112"/>
    <mergeCell ref="L24:L28"/>
    <mergeCell ref="M24:M28"/>
    <mergeCell ref="N24:N28"/>
    <mergeCell ref="O24:O28"/>
    <mergeCell ref="B121:B124"/>
    <mergeCell ref="B125:B127"/>
    <mergeCell ref="C125:C130"/>
    <mergeCell ref="B128:B130"/>
    <mergeCell ref="B89:B92"/>
    <mergeCell ref="B93:B100"/>
    <mergeCell ref="C93:C100"/>
    <mergeCell ref="B101:B104"/>
    <mergeCell ref="C101:C104"/>
    <mergeCell ref="B105:B108"/>
    <mergeCell ref="C105:C112"/>
    <mergeCell ref="D125:D127"/>
    <mergeCell ref="D128:D130"/>
    <mergeCell ref="C73:C84"/>
    <mergeCell ref="C85:C92"/>
    <mergeCell ref="D85:D88"/>
    <mergeCell ref="D89:D92"/>
    <mergeCell ref="D93:D96"/>
    <mergeCell ref="D97:D100"/>
    <mergeCell ref="D101:D104"/>
    <mergeCell ref="P4:P6"/>
    <mergeCell ref="O7:O9"/>
    <mergeCell ref="P7:P9"/>
    <mergeCell ref="O10:O12"/>
    <mergeCell ref="P10:P12"/>
    <mergeCell ref="O13:O18"/>
    <mergeCell ref="O19:O20"/>
    <mergeCell ref="A1:R1"/>
    <mergeCell ref="A2:H2"/>
    <mergeCell ref="I2:J2"/>
    <mergeCell ref="K2:R2"/>
    <mergeCell ref="B3:C3"/>
    <mergeCell ref="A4:A6"/>
    <mergeCell ref="B4:B6"/>
    <mergeCell ref="Q4:Q6"/>
    <mergeCell ref="Q7:Q9"/>
    <mergeCell ref="Q10:Q12"/>
    <mergeCell ref="M4:M6"/>
    <mergeCell ref="N4:N6"/>
    <mergeCell ref="M7:M9"/>
    <mergeCell ref="N7:N9"/>
    <mergeCell ref="M10:M12"/>
    <mergeCell ref="N10:N12"/>
    <mergeCell ref="O4:O6"/>
    <mergeCell ref="A7:A12"/>
    <mergeCell ref="A13:A18"/>
    <mergeCell ref="A19:A20"/>
    <mergeCell ref="K4:K6"/>
    <mergeCell ref="L4:L6"/>
    <mergeCell ref="K7:K9"/>
    <mergeCell ref="L7:L9"/>
    <mergeCell ref="K10:K12"/>
    <mergeCell ref="L10:L12"/>
    <mergeCell ref="L13:L18"/>
    <mergeCell ref="S55:S58"/>
    <mergeCell ref="S59:S62"/>
    <mergeCell ref="S93:S100"/>
    <mergeCell ref="S101:S104"/>
    <mergeCell ref="S105:S112"/>
    <mergeCell ref="S113:S116"/>
    <mergeCell ref="S117:S124"/>
    <mergeCell ref="S21:S23"/>
    <mergeCell ref="S24:S28"/>
    <mergeCell ref="S29:S33"/>
    <mergeCell ref="S34:S37"/>
    <mergeCell ref="S38:S43"/>
    <mergeCell ref="S143:S146"/>
    <mergeCell ref="T143:T146"/>
    <mergeCell ref="U143:U146"/>
    <mergeCell ref="S125:S130"/>
    <mergeCell ref="S131:S138"/>
    <mergeCell ref="S63:S68"/>
    <mergeCell ref="S69:S72"/>
    <mergeCell ref="S73:S84"/>
    <mergeCell ref="S85:S92"/>
    <mergeCell ref="V24:V28"/>
    <mergeCell ref="T29:T33"/>
    <mergeCell ref="U29:U33"/>
    <mergeCell ref="V29:V33"/>
    <mergeCell ref="T55:T58"/>
    <mergeCell ref="U55:U58"/>
    <mergeCell ref="V55:V58"/>
    <mergeCell ref="V50:V54"/>
    <mergeCell ref="P29:P33"/>
    <mergeCell ref="Q29:Q33"/>
    <mergeCell ref="P34:P37"/>
    <mergeCell ref="Q34:Q37"/>
    <mergeCell ref="P38:P43"/>
    <mergeCell ref="Q38:Q43"/>
    <mergeCell ref="P24:P28"/>
    <mergeCell ref="Q24:Q28"/>
    <mergeCell ref="V44:V49"/>
    <mergeCell ref="V34:V37"/>
    <mergeCell ref="T38:T43"/>
    <mergeCell ref="U38:U43"/>
    <mergeCell ref="V38:V43"/>
    <mergeCell ref="S44:S49"/>
    <mergeCell ref="T44:T49"/>
    <mergeCell ref="P50:P54"/>
    <mergeCell ref="V59:V62"/>
    <mergeCell ref="T63:T68"/>
    <mergeCell ref="U63:U68"/>
    <mergeCell ref="V63:V68"/>
    <mergeCell ref="T69:T72"/>
    <mergeCell ref="U69:U72"/>
    <mergeCell ref="V69:V72"/>
    <mergeCell ref="T73:T84"/>
    <mergeCell ref="U73:U84"/>
    <mergeCell ref="T59:T62"/>
    <mergeCell ref="U59:U62"/>
    <mergeCell ref="R135:R138"/>
    <mergeCell ref="R139:R142"/>
    <mergeCell ref="M152:M156"/>
    <mergeCell ref="N152:N156"/>
    <mergeCell ref="O152:O156"/>
    <mergeCell ref="P152:P156"/>
    <mergeCell ref="Q152:Q156"/>
    <mergeCell ref="R152:R156"/>
    <mergeCell ref="R143:R146"/>
    <mergeCell ref="P147:P151"/>
    <mergeCell ref="Q147:Q151"/>
    <mergeCell ref="R147:R151"/>
    <mergeCell ref="B143:B146"/>
    <mergeCell ref="C143:C146"/>
    <mergeCell ref="K143:K146"/>
    <mergeCell ref="L143:L146"/>
    <mergeCell ref="M143:M146"/>
    <mergeCell ref="N143:N146"/>
    <mergeCell ref="O143:O146"/>
    <mergeCell ref="S7:S12"/>
    <mergeCell ref="T7:T12"/>
    <mergeCell ref="T21:T23"/>
    <mergeCell ref="L29:L33"/>
    <mergeCell ref="M29:M33"/>
    <mergeCell ref="K34:K37"/>
    <mergeCell ref="L34:L37"/>
    <mergeCell ref="M34:M37"/>
    <mergeCell ref="L38:L43"/>
    <mergeCell ref="M38:M43"/>
    <mergeCell ref="K38:K43"/>
    <mergeCell ref="K44:K49"/>
    <mergeCell ref="L44:L49"/>
    <mergeCell ref="M44:M49"/>
    <mergeCell ref="N44:N49"/>
    <mergeCell ref="O44:O49"/>
    <mergeCell ref="P44:P49"/>
    <mergeCell ref="V7:V12"/>
    <mergeCell ref="R10:R12"/>
    <mergeCell ref="R13:R18"/>
    <mergeCell ref="S13:S18"/>
    <mergeCell ref="T13:T18"/>
    <mergeCell ref="U13:U18"/>
    <mergeCell ref="S19:S20"/>
    <mergeCell ref="T19:T20"/>
    <mergeCell ref="U19:U20"/>
    <mergeCell ref="V19:V20"/>
    <mergeCell ref="R7:R9"/>
    <mergeCell ref="U21:U23"/>
    <mergeCell ref="R4:R6"/>
    <mergeCell ref="R24:R28"/>
    <mergeCell ref="R29:R33"/>
    <mergeCell ref="R34:R37"/>
    <mergeCell ref="R38:R43"/>
    <mergeCell ref="R50:R54"/>
    <mergeCell ref="T24:T28"/>
    <mergeCell ref="U24:U28"/>
    <mergeCell ref="T34:T37"/>
    <mergeCell ref="U34:U37"/>
    <mergeCell ref="S50:S54"/>
    <mergeCell ref="T50:T54"/>
    <mergeCell ref="U50:U54"/>
    <mergeCell ref="U7:U12"/>
    <mergeCell ref="U44:U49"/>
    <mergeCell ref="Q21:Q23"/>
    <mergeCell ref="R21:R23"/>
    <mergeCell ref="L19:L20"/>
    <mergeCell ref="K21:K23"/>
    <mergeCell ref="L21:L23"/>
    <mergeCell ref="M21:M23"/>
    <mergeCell ref="N21:N23"/>
    <mergeCell ref="O21:O23"/>
    <mergeCell ref="P21:P23"/>
    <mergeCell ref="R44:R49"/>
    <mergeCell ref="K63:K68"/>
    <mergeCell ref="L63:L68"/>
    <mergeCell ref="M63:M68"/>
    <mergeCell ref="N63:N68"/>
    <mergeCell ref="O63:O68"/>
    <mergeCell ref="P63:P68"/>
    <mergeCell ref="Q63:Q68"/>
    <mergeCell ref="R63:R68"/>
    <mergeCell ref="Q59:Q62"/>
    <mergeCell ref="R59:R62"/>
    <mergeCell ref="K55:K58"/>
    <mergeCell ref="K59:K62"/>
    <mergeCell ref="L59:L62"/>
    <mergeCell ref="M59:M62"/>
    <mergeCell ref="N59:N62"/>
    <mergeCell ref="O59:O62"/>
    <mergeCell ref="P59:P62"/>
    <mergeCell ref="P55:P58"/>
    <mergeCell ref="Q55:Q58"/>
    <mergeCell ref="R55:R58"/>
    <mergeCell ref="K50:K54"/>
    <mergeCell ref="L50:L54"/>
    <mergeCell ref="M50:M54"/>
    <mergeCell ref="D50:D54"/>
    <mergeCell ref="A55:A58"/>
    <mergeCell ref="B55:B58"/>
    <mergeCell ref="A59:A62"/>
    <mergeCell ref="B59:B62"/>
    <mergeCell ref="C59:C62"/>
    <mergeCell ref="D59:D62"/>
    <mergeCell ref="K29:K33"/>
    <mergeCell ref="Q44:Q49"/>
    <mergeCell ref="N50:N54"/>
    <mergeCell ref="O50:O54"/>
    <mergeCell ref="Q50:Q54"/>
    <mergeCell ref="N34:N37"/>
    <mergeCell ref="O34:O37"/>
    <mergeCell ref="N38:N43"/>
    <mergeCell ref="O38:O43"/>
    <mergeCell ref="L55:L58"/>
    <mergeCell ref="M55:M58"/>
    <mergeCell ref="N55:N58"/>
    <mergeCell ref="O55:O58"/>
    <mergeCell ref="N29:N33"/>
    <mergeCell ref="O29:O33"/>
    <mergeCell ref="C4:C6"/>
    <mergeCell ref="D4:D6"/>
    <mergeCell ref="B7:B9"/>
    <mergeCell ref="C7:C12"/>
    <mergeCell ref="D7:D9"/>
    <mergeCell ref="B10:B12"/>
    <mergeCell ref="D10:D12"/>
    <mergeCell ref="C13:C18"/>
    <mergeCell ref="C19:C20"/>
    <mergeCell ref="A21:A23"/>
    <mergeCell ref="B21:B23"/>
    <mergeCell ref="C21:C23"/>
    <mergeCell ref="D21:D23"/>
    <mergeCell ref="C24:C28"/>
    <mergeCell ref="C34:C37"/>
    <mergeCell ref="D34:D37"/>
    <mergeCell ref="A24:A28"/>
    <mergeCell ref="A29:A33"/>
    <mergeCell ref="B29:B33"/>
    <mergeCell ref="C29:C33"/>
    <mergeCell ref="D29:D33"/>
    <mergeCell ref="A34:A37"/>
    <mergeCell ref="B34:B37"/>
    <mergeCell ref="R79:R84"/>
    <mergeCell ref="K79:K84"/>
    <mergeCell ref="K85:K88"/>
    <mergeCell ref="L85:L88"/>
    <mergeCell ref="M85:M88"/>
    <mergeCell ref="N85:N88"/>
    <mergeCell ref="O85:O88"/>
    <mergeCell ref="P85:P88"/>
    <mergeCell ref="A38:A43"/>
    <mergeCell ref="B38:B43"/>
    <mergeCell ref="C38:C43"/>
    <mergeCell ref="D38:D43"/>
    <mergeCell ref="B44:B49"/>
    <mergeCell ref="C44:C49"/>
    <mergeCell ref="D44:D49"/>
    <mergeCell ref="C55:C58"/>
    <mergeCell ref="D55:D58"/>
    <mergeCell ref="B63:B68"/>
    <mergeCell ref="C63:C68"/>
    <mergeCell ref="D63:D68"/>
    <mergeCell ref="A44:A49"/>
    <mergeCell ref="A50:A54"/>
    <mergeCell ref="B50:B54"/>
    <mergeCell ref="C50:C54"/>
    <mergeCell ref="K69:K72"/>
    <mergeCell ref="K73:K78"/>
    <mergeCell ref="L73:L78"/>
    <mergeCell ref="M73:M78"/>
    <mergeCell ref="N73:N78"/>
    <mergeCell ref="O73:O78"/>
    <mergeCell ref="P73:P78"/>
    <mergeCell ref="Q85:Q88"/>
    <mergeCell ref="R85:R88"/>
    <mergeCell ref="L69:L72"/>
    <mergeCell ref="M69:M72"/>
    <mergeCell ref="N69:N72"/>
    <mergeCell ref="O69:O72"/>
    <mergeCell ref="P69:P72"/>
    <mergeCell ref="Q69:Q72"/>
    <mergeCell ref="R69:R72"/>
    <mergeCell ref="Q73:Q78"/>
    <mergeCell ref="R73:R78"/>
    <mergeCell ref="L79:L84"/>
    <mergeCell ref="M79:M84"/>
    <mergeCell ref="N79:N84"/>
    <mergeCell ref="O79:O84"/>
    <mergeCell ref="P79:P84"/>
    <mergeCell ref="Q79:Q84"/>
    <mergeCell ref="L105:L108"/>
    <mergeCell ref="M105:M108"/>
    <mergeCell ref="N105:N108"/>
    <mergeCell ref="O105:O108"/>
    <mergeCell ref="P105:P108"/>
    <mergeCell ref="Q105:Q108"/>
    <mergeCell ref="R105:R108"/>
    <mergeCell ref="Q97:Q100"/>
    <mergeCell ref="R97:R100"/>
    <mergeCell ref="Q101:Q104"/>
    <mergeCell ref="R101:R104"/>
    <mergeCell ref="K105:K108"/>
    <mergeCell ref="K109:K112"/>
    <mergeCell ref="L109:L112"/>
    <mergeCell ref="M109:M112"/>
    <mergeCell ref="N109:N112"/>
    <mergeCell ref="O109:O112"/>
    <mergeCell ref="P109:P112"/>
    <mergeCell ref="L89:L92"/>
    <mergeCell ref="M89:M92"/>
    <mergeCell ref="N89:N92"/>
    <mergeCell ref="O89:O92"/>
    <mergeCell ref="P89:P92"/>
    <mergeCell ref="L97:L100"/>
    <mergeCell ref="M97:M100"/>
    <mergeCell ref="N97:N100"/>
    <mergeCell ref="O97:O100"/>
    <mergeCell ref="P97:P100"/>
    <mergeCell ref="K97:K100"/>
    <mergeCell ref="K101:K104"/>
    <mergeCell ref="L101:L104"/>
    <mergeCell ref="M101:M104"/>
    <mergeCell ref="N101:N104"/>
    <mergeCell ref="O101:O104"/>
    <mergeCell ref="P101:P104"/>
    <mergeCell ref="Q89:Q92"/>
    <mergeCell ref="R89:R92"/>
    <mergeCell ref="K89:K92"/>
    <mergeCell ref="K93:K96"/>
    <mergeCell ref="L93:L96"/>
    <mergeCell ref="M93:M96"/>
    <mergeCell ref="N93:N96"/>
    <mergeCell ref="O93:O96"/>
    <mergeCell ref="P93:P96"/>
    <mergeCell ref="Q93:Q96"/>
    <mergeCell ref="R93:R96"/>
    <mergeCell ref="Q109:Q112"/>
    <mergeCell ref="R109:R112"/>
    <mergeCell ref="K113:K116"/>
    <mergeCell ref="L113:L116"/>
    <mergeCell ref="M113:M116"/>
    <mergeCell ref="N113:N116"/>
    <mergeCell ref="O113:O116"/>
    <mergeCell ref="P113:P116"/>
    <mergeCell ref="Q113:Q116"/>
    <mergeCell ref="R113:R116"/>
    <mergeCell ref="T131:T138"/>
    <mergeCell ref="U131:U138"/>
    <mergeCell ref="V131:V138"/>
    <mergeCell ref="S139:S142"/>
    <mergeCell ref="T139:T142"/>
    <mergeCell ref="U139:U142"/>
    <mergeCell ref="V139:V142"/>
    <mergeCell ref="V93:V100"/>
    <mergeCell ref="T101:T104"/>
    <mergeCell ref="U101:U104"/>
    <mergeCell ref="V101:V104"/>
    <mergeCell ref="T105:T112"/>
    <mergeCell ref="U105:U112"/>
    <mergeCell ref="V105:V112"/>
    <mergeCell ref="T113:T116"/>
    <mergeCell ref="U113:U116"/>
    <mergeCell ref="V113:V116"/>
    <mergeCell ref="T93:T100"/>
    <mergeCell ref="U93:U100"/>
    <mergeCell ref="T117:T124"/>
    <mergeCell ref="U117:U124"/>
    <mergeCell ref="S163:S166"/>
    <mergeCell ref="T163:T166"/>
    <mergeCell ref="V73:V84"/>
    <mergeCell ref="T85:T92"/>
    <mergeCell ref="U85:U92"/>
    <mergeCell ref="V85:V92"/>
    <mergeCell ref="S176:S181"/>
    <mergeCell ref="T176:T181"/>
    <mergeCell ref="U176:U181"/>
    <mergeCell ref="V176:V181"/>
    <mergeCell ref="V174:V175"/>
    <mergeCell ref="V143:V146"/>
    <mergeCell ref="S147:S156"/>
    <mergeCell ref="T147:T156"/>
    <mergeCell ref="U147:U156"/>
    <mergeCell ref="V147:V156"/>
    <mergeCell ref="S157:S162"/>
    <mergeCell ref="T157:T162"/>
    <mergeCell ref="U157:U162"/>
    <mergeCell ref="V157:V162"/>
    <mergeCell ref="V117:V124"/>
    <mergeCell ref="T125:T130"/>
    <mergeCell ref="U125:U130"/>
    <mergeCell ref="V125:V130"/>
    <mergeCell ref="S182:S187"/>
    <mergeCell ref="T182:T187"/>
    <mergeCell ref="U182:U187"/>
    <mergeCell ref="V182:V187"/>
    <mergeCell ref="S4:S6"/>
    <mergeCell ref="T4:T6"/>
    <mergeCell ref="U4:U6"/>
    <mergeCell ref="V4:V6"/>
    <mergeCell ref="W4:W187"/>
    <mergeCell ref="V13:V18"/>
    <mergeCell ref="V21:V23"/>
    <mergeCell ref="U163:U166"/>
    <mergeCell ref="V163:V166"/>
    <mergeCell ref="S167:S170"/>
    <mergeCell ref="T167:T170"/>
    <mergeCell ref="U167:U170"/>
    <mergeCell ref="V167:V170"/>
    <mergeCell ref="S171:S173"/>
    <mergeCell ref="T171:T173"/>
    <mergeCell ref="U171:U173"/>
    <mergeCell ref="V171:V173"/>
    <mergeCell ref="S174:S175"/>
    <mergeCell ref="T174:T175"/>
    <mergeCell ref="U174:U175"/>
    <mergeCell ref="D152:D156"/>
    <mergeCell ref="D157:D159"/>
    <mergeCell ref="K152:K156"/>
    <mergeCell ref="L152:L156"/>
    <mergeCell ref="L131:L134"/>
    <mergeCell ref="M131:M134"/>
    <mergeCell ref="K147:K151"/>
    <mergeCell ref="L147:L151"/>
    <mergeCell ref="M147:M151"/>
    <mergeCell ref="K135:K138"/>
    <mergeCell ref="L135:L138"/>
    <mergeCell ref="K139:K142"/>
    <mergeCell ref="L139:L142"/>
    <mergeCell ref="M139:M142"/>
    <mergeCell ref="M135:M138"/>
    <mergeCell ref="C174:C175"/>
    <mergeCell ref="D174:D175"/>
    <mergeCell ref="D131:D134"/>
    <mergeCell ref="D135:D138"/>
    <mergeCell ref="A139:A142"/>
    <mergeCell ref="B139:B142"/>
    <mergeCell ref="C139:C142"/>
    <mergeCell ref="D139:D142"/>
    <mergeCell ref="D143:D146"/>
    <mergeCell ref="B160:B162"/>
    <mergeCell ref="D160:D162"/>
    <mergeCell ref="A143:A146"/>
    <mergeCell ref="A147:A156"/>
    <mergeCell ref="B147:B151"/>
    <mergeCell ref="C147:C156"/>
    <mergeCell ref="D147:D151"/>
    <mergeCell ref="A157:A162"/>
    <mergeCell ref="C157:C162"/>
    <mergeCell ref="A131:A138"/>
    <mergeCell ref="B131:B134"/>
    <mergeCell ref="C131:C138"/>
    <mergeCell ref="B135:B138"/>
    <mergeCell ref="B152:B156"/>
    <mergeCell ref="B157:B159"/>
    <mergeCell ref="P117:P120"/>
    <mergeCell ref="Q117:Q120"/>
    <mergeCell ref="R117:R120"/>
    <mergeCell ref="P121:P124"/>
    <mergeCell ref="Q121:Q124"/>
    <mergeCell ref="R121:R124"/>
    <mergeCell ref="A176:A181"/>
    <mergeCell ref="B176:B181"/>
    <mergeCell ref="C176:C181"/>
    <mergeCell ref="D176:D181"/>
    <mergeCell ref="A167:A170"/>
    <mergeCell ref="A171:A173"/>
    <mergeCell ref="B171:B173"/>
    <mergeCell ref="C171:C173"/>
    <mergeCell ref="D171:D173"/>
    <mergeCell ref="A174:A175"/>
    <mergeCell ref="B174:B175"/>
    <mergeCell ref="A163:A166"/>
    <mergeCell ref="B163:B166"/>
    <mergeCell ref="C163:C166"/>
    <mergeCell ref="D163:D166"/>
    <mergeCell ref="B167:B170"/>
    <mergeCell ref="C167:C170"/>
    <mergeCell ref="D167:D170"/>
    <mergeCell ref="R125:R127"/>
    <mergeCell ref="N131:N134"/>
    <mergeCell ref="O131:O134"/>
    <mergeCell ref="P131:P134"/>
    <mergeCell ref="Q131:Q134"/>
    <mergeCell ref="R131:R134"/>
    <mergeCell ref="N125:N127"/>
    <mergeCell ref="O125:O127"/>
    <mergeCell ref="K131:K134"/>
    <mergeCell ref="P125:P127"/>
    <mergeCell ref="Q125:Q127"/>
    <mergeCell ref="P128:P130"/>
    <mergeCell ref="Q128:Q130"/>
    <mergeCell ref="R128:R130"/>
    <mergeCell ref="L125:L127"/>
    <mergeCell ref="M125:M127"/>
    <mergeCell ref="K128:K130"/>
    <mergeCell ref="L128:L130"/>
    <mergeCell ref="M128:M130"/>
    <mergeCell ref="N128:N130"/>
    <mergeCell ref="O128:O130"/>
    <mergeCell ref="Q171:Q173"/>
    <mergeCell ref="K167:K170"/>
    <mergeCell ref="L167:L170"/>
    <mergeCell ref="M167:M170"/>
    <mergeCell ref="N167:N170"/>
    <mergeCell ref="O167:O170"/>
    <mergeCell ref="P167:P170"/>
    <mergeCell ref="Q167:Q170"/>
    <mergeCell ref="K125:K127"/>
    <mergeCell ref="N147:N151"/>
    <mergeCell ref="O147:O151"/>
    <mergeCell ref="O135:O138"/>
    <mergeCell ref="N139:N142"/>
    <mergeCell ref="O139:O142"/>
    <mergeCell ref="P143:P146"/>
    <mergeCell ref="Q143:Q146"/>
    <mergeCell ref="P139:P142"/>
    <mergeCell ref="Q139:Q142"/>
    <mergeCell ref="N135:N138"/>
    <mergeCell ref="P135:P138"/>
    <mergeCell ref="Q135:Q138"/>
    <mergeCell ref="R167:R170"/>
    <mergeCell ref="R176:R181"/>
    <mergeCell ref="K176:K181"/>
    <mergeCell ref="L176:L181"/>
    <mergeCell ref="M176:M181"/>
    <mergeCell ref="N176:N181"/>
    <mergeCell ref="O176:O181"/>
    <mergeCell ref="P176:P181"/>
    <mergeCell ref="Q176:Q181"/>
    <mergeCell ref="R174:R175"/>
    <mergeCell ref="K174:K175"/>
    <mergeCell ref="L174:L175"/>
    <mergeCell ref="M174:M175"/>
    <mergeCell ref="N174:N175"/>
    <mergeCell ref="O174:O175"/>
    <mergeCell ref="P174:P175"/>
    <mergeCell ref="Q174:Q175"/>
    <mergeCell ref="R171:R173"/>
    <mergeCell ref="K171:K173"/>
    <mergeCell ref="L171:L173"/>
    <mergeCell ref="M171:M173"/>
    <mergeCell ref="N171:N173"/>
    <mergeCell ref="O171:O173"/>
    <mergeCell ref="P171:P173"/>
    <mergeCell ref="P163:P166"/>
    <mergeCell ref="Q163:Q166"/>
    <mergeCell ref="R163:R166"/>
    <mergeCell ref="N160:N162"/>
    <mergeCell ref="O160:O162"/>
    <mergeCell ref="K163:K166"/>
    <mergeCell ref="L163:L166"/>
    <mergeCell ref="M163:M166"/>
    <mergeCell ref="N163:N166"/>
    <mergeCell ref="O163:O166"/>
    <mergeCell ref="P160:P162"/>
    <mergeCell ref="Q160:Q162"/>
    <mergeCell ref="P157:P159"/>
    <mergeCell ref="Q157:Q159"/>
    <mergeCell ref="R157:R159"/>
    <mergeCell ref="K160:K162"/>
    <mergeCell ref="L160:L162"/>
    <mergeCell ref="M160:M162"/>
    <mergeCell ref="R160:R162"/>
    <mergeCell ref="K157:K159"/>
    <mergeCell ref="L157:L159"/>
    <mergeCell ref="M157:M159"/>
    <mergeCell ref="N157:N159"/>
    <mergeCell ref="O157:O159"/>
    <mergeCell ref="R182:R187"/>
    <mergeCell ref="K182:K187"/>
    <mergeCell ref="L182:L187"/>
    <mergeCell ref="M182:M187"/>
    <mergeCell ref="N182:N187"/>
    <mergeCell ref="O182:O187"/>
    <mergeCell ref="P182:P187"/>
    <mergeCell ref="Q182:Q187"/>
    <mergeCell ref="A189:R189"/>
    <mergeCell ref="A182:A187"/>
    <mergeCell ref="B182:B187"/>
    <mergeCell ref="C182:C187"/>
    <mergeCell ref="D182:D187"/>
  </mergeCells>
  <pageMargins left="0.196527777777778" right="0.118055555555556" top="0.47222222222222199" bottom="0.47222222222222199" header="0" footer="0"/>
  <pageSetup paperSize="9"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Uriel Lope Saavedra</cp:lastModifiedBy>
  <dcterms:created xsi:type="dcterms:W3CDTF">2025-08-27T06:15:00Z</dcterms:created>
  <dcterms:modified xsi:type="dcterms:W3CDTF">2026-09-07T17:09:38Z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