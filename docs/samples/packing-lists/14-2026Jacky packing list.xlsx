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1uriel\dowloads oficina\"/>
    </mc:Choice>
  </mc:AlternateContent>
  <xr:revisionPtr revIDLastSave="0" documentId="13_ncr:1_{1A3884B8-56FD-41A5-999F-AA4FCE5F0ED4}" xr6:coauthVersionLast="47" xr6:coauthVersionMax="47" xr10:uidLastSave="{00000000-0000-0000-0000-000000000000}"/>
  <bookViews>
    <workbookView xWindow="-103" yWindow="-103" windowWidth="24892" windowHeight="15943" tabRatio="690" activeTab="4" xr2:uid="{00000000-000D-0000-FFFF-FFFF00000000}"/>
  </bookViews>
  <sheets>
    <sheet name="装箱单" sheetId="7" r:id="rId1"/>
    <sheet name="JA26-01HSD" sheetId="18" r:id="rId2"/>
    <sheet name="JA25-01USD" sheetId="27" r:id="rId3"/>
    <sheet name="JA25-03USD" sheetId="19" r:id="rId4"/>
    <sheet name="JA25-05ISD" sheetId="21" r:id="rId5"/>
  </sheets>
  <definedNames>
    <definedName name="_xlnm.Print_Area" localSheetId="0">装箱单!$A$1:$T$23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" i="21" l="1"/>
  <c r="Q22" i="21"/>
  <c r="P22" i="21"/>
  <c r="M22" i="21"/>
  <c r="K22" i="21"/>
  <c r="J21" i="21"/>
  <c r="J20" i="21"/>
  <c r="J19" i="21"/>
  <c r="J18" i="21"/>
  <c r="J17" i="21"/>
  <c r="U16" i="21"/>
  <c r="Q16" i="21"/>
  <c r="P16" i="21"/>
  <c r="O16" i="21"/>
  <c r="M16" i="21"/>
  <c r="L16" i="21"/>
  <c r="J16" i="21"/>
  <c r="J15" i="21"/>
  <c r="J14" i="21"/>
  <c r="J13" i="21"/>
  <c r="J12" i="21"/>
  <c r="J11" i="21"/>
  <c r="U10" i="21"/>
  <c r="Q10" i="21"/>
  <c r="P10" i="21"/>
  <c r="O10" i="21"/>
  <c r="M10" i="21"/>
  <c r="L10" i="21"/>
  <c r="J10" i="21"/>
  <c r="J9" i="21"/>
  <c r="J8" i="21"/>
  <c r="J7" i="21"/>
  <c r="J6" i="21"/>
  <c r="J5" i="21"/>
  <c r="U4" i="21"/>
  <c r="Q4" i="21"/>
  <c r="P4" i="21"/>
  <c r="O4" i="21"/>
  <c r="M4" i="21"/>
  <c r="L4" i="21"/>
  <c r="J4" i="21"/>
  <c r="U22" i="19"/>
  <c r="Q22" i="19"/>
  <c r="P22" i="19"/>
  <c r="M22" i="19"/>
  <c r="K22" i="19"/>
  <c r="J21" i="19"/>
  <c r="J20" i="19"/>
  <c r="J19" i="19"/>
  <c r="J18" i="19"/>
  <c r="J17" i="19"/>
  <c r="U16" i="19"/>
  <c r="Q16" i="19"/>
  <c r="P16" i="19"/>
  <c r="O16" i="19"/>
  <c r="M16" i="19"/>
  <c r="L16" i="19"/>
  <c r="J16" i="19"/>
  <c r="J15" i="19"/>
  <c r="J14" i="19"/>
  <c r="J13" i="19"/>
  <c r="J12" i="19"/>
  <c r="J11" i="19"/>
  <c r="U10" i="19"/>
  <c r="Q10" i="19"/>
  <c r="P10" i="19"/>
  <c r="O10" i="19"/>
  <c r="M10" i="19"/>
  <c r="L10" i="19"/>
  <c r="J10" i="19"/>
  <c r="J9" i="19"/>
  <c r="J8" i="19"/>
  <c r="J7" i="19"/>
  <c r="J6" i="19"/>
  <c r="J5" i="19"/>
  <c r="U4" i="19"/>
  <c r="Q4" i="19"/>
  <c r="P4" i="19"/>
  <c r="O4" i="19"/>
  <c r="M4" i="19"/>
  <c r="L4" i="19"/>
  <c r="J4" i="19"/>
  <c r="U42" i="27"/>
  <c r="Q42" i="27"/>
  <c r="P42" i="27"/>
  <c r="M42" i="27"/>
  <c r="K42" i="27"/>
  <c r="J41" i="27"/>
  <c r="U40" i="27"/>
  <c r="Q40" i="27"/>
  <c r="P40" i="27"/>
  <c r="O40" i="27"/>
  <c r="M40" i="27"/>
  <c r="L40" i="27"/>
  <c r="J40" i="27"/>
  <c r="J39" i="27"/>
  <c r="U38" i="27"/>
  <c r="Q38" i="27"/>
  <c r="P38" i="27"/>
  <c r="O38" i="27"/>
  <c r="M38" i="27"/>
  <c r="L38" i="27"/>
  <c r="J38" i="27"/>
  <c r="J37" i="27"/>
  <c r="J36" i="27"/>
  <c r="U35" i="27"/>
  <c r="Q35" i="27"/>
  <c r="P35" i="27"/>
  <c r="O35" i="27"/>
  <c r="M35" i="27"/>
  <c r="L35" i="27"/>
  <c r="J35" i="27"/>
  <c r="J34" i="27"/>
  <c r="J33" i="27"/>
  <c r="J32" i="27"/>
  <c r="U31" i="27"/>
  <c r="Q31" i="27"/>
  <c r="P31" i="27"/>
  <c r="O31" i="27"/>
  <c r="M31" i="27"/>
  <c r="L31" i="27"/>
  <c r="J31" i="27"/>
  <c r="J30" i="27"/>
  <c r="J29" i="27"/>
  <c r="J28" i="27"/>
  <c r="J27" i="27"/>
  <c r="J26" i="27"/>
  <c r="U25" i="27"/>
  <c r="Q25" i="27"/>
  <c r="P25" i="27"/>
  <c r="O25" i="27"/>
  <c r="M25" i="27"/>
  <c r="L25" i="27"/>
  <c r="J25" i="27"/>
  <c r="J24" i="27"/>
  <c r="J23" i="27"/>
  <c r="U22" i="27"/>
  <c r="Q22" i="27"/>
  <c r="P22" i="27"/>
  <c r="O22" i="27"/>
  <c r="M22" i="27"/>
  <c r="L22" i="27"/>
  <c r="J22" i="27"/>
  <c r="J21" i="27"/>
  <c r="J20" i="27"/>
  <c r="U19" i="27"/>
  <c r="Q19" i="27"/>
  <c r="P19" i="27"/>
  <c r="O19" i="27"/>
  <c r="M19" i="27"/>
  <c r="L19" i="27"/>
  <c r="J19" i="27"/>
  <c r="J18" i="27"/>
  <c r="J17" i="27"/>
  <c r="J16" i="27"/>
  <c r="U15" i="27"/>
  <c r="Q15" i="27"/>
  <c r="P15" i="27"/>
  <c r="O15" i="27"/>
  <c r="M15" i="27"/>
  <c r="L15" i="27"/>
  <c r="J15" i="27"/>
  <c r="J14" i="27"/>
  <c r="U10" i="27"/>
  <c r="Q10" i="27"/>
  <c r="P10" i="27"/>
  <c r="O10" i="27"/>
  <c r="M10" i="27"/>
  <c r="L10" i="27"/>
  <c r="J10" i="27"/>
  <c r="J9" i="27"/>
  <c r="J8" i="27"/>
  <c r="J7" i="27"/>
  <c r="J6" i="27"/>
  <c r="J5" i="27"/>
  <c r="U4" i="27"/>
  <c r="Q4" i="27"/>
  <c r="P4" i="27"/>
  <c r="O4" i="27"/>
  <c r="M4" i="27"/>
  <c r="L4" i="27"/>
  <c r="J4" i="27"/>
  <c r="U10" i="18"/>
  <c r="Q10" i="18"/>
  <c r="P10" i="18"/>
  <c r="M10" i="18"/>
  <c r="K10" i="18"/>
  <c r="J9" i="18"/>
  <c r="J8" i="18"/>
  <c r="U7" i="18"/>
  <c r="Q7" i="18"/>
  <c r="P7" i="18"/>
  <c r="O7" i="18"/>
  <c r="M7" i="18"/>
  <c r="L7" i="18"/>
  <c r="J7" i="18"/>
  <c r="J6" i="18"/>
  <c r="J5" i="18"/>
  <c r="U4" i="18"/>
  <c r="Q4" i="18"/>
  <c r="P4" i="18"/>
  <c r="O4" i="18"/>
  <c r="M4" i="18"/>
  <c r="L4" i="18"/>
  <c r="J4" i="18"/>
  <c r="Q22" i="7"/>
  <c r="M22" i="7"/>
  <c r="L22" i="7"/>
  <c r="I22" i="7"/>
  <c r="G22" i="7"/>
  <c r="T20" i="7"/>
  <c r="Q20" i="7"/>
  <c r="M20" i="7"/>
  <c r="L20" i="7"/>
  <c r="I20" i="7"/>
  <c r="G20" i="7"/>
  <c r="T19" i="7"/>
  <c r="Q19" i="7"/>
  <c r="M19" i="7"/>
  <c r="L19" i="7"/>
  <c r="K19" i="7"/>
  <c r="I19" i="7"/>
  <c r="T18" i="7"/>
  <c r="Q18" i="7"/>
  <c r="M18" i="7"/>
  <c r="L18" i="7"/>
  <c r="K18" i="7"/>
  <c r="I18" i="7"/>
  <c r="T17" i="7"/>
  <c r="Q17" i="7"/>
  <c r="M17" i="7"/>
  <c r="L17" i="7"/>
  <c r="K17" i="7"/>
  <c r="I17" i="7"/>
  <c r="T16" i="7"/>
  <c r="Q16" i="7"/>
  <c r="M16" i="7"/>
  <c r="L16" i="7"/>
  <c r="K16" i="7"/>
  <c r="I16" i="7"/>
  <c r="T15" i="7"/>
  <c r="Q15" i="7"/>
  <c r="M15" i="7"/>
  <c r="L15" i="7"/>
  <c r="K15" i="7"/>
  <c r="I15" i="7"/>
  <c r="T14" i="7"/>
  <c r="Q14" i="7"/>
  <c r="M14" i="7"/>
  <c r="L14" i="7"/>
  <c r="K14" i="7"/>
  <c r="I14" i="7"/>
  <c r="T13" i="7"/>
  <c r="Q13" i="7"/>
  <c r="M13" i="7"/>
  <c r="L13" i="7"/>
  <c r="K13" i="7"/>
  <c r="I13" i="7"/>
  <c r="T12" i="7"/>
  <c r="Q12" i="7"/>
  <c r="M12" i="7"/>
  <c r="L12" i="7"/>
  <c r="K12" i="7"/>
  <c r="I12" i="7"/>
  <c r="T11" i="7"/>
  <c r="Q11" i="7"/>
  <c r="M11" i="7"/>
  <c r="L11" i="7"/>
  <c r="K11" i="7"/>
  <c r="I11" i="7"/>
  <c r="T10" i="7"/>
  <c r="Q10" i="7"/>
  <c r="M10" i="7"/>
  <c r="L10" i="7"/>
  <c r="K10" i="7"/>
  <c r="I10" i="7"/>
  <c r="T9" i="7"/>
  <c r="Q9" i="7"/>
  <c r="M9" i="7"/>
  <c r="L9" i="7"/>
  <c r="K9" i="7"/>
  <c r="I9" i="7"/>
  <c r="T8" i="7"/>
  <c r="Q8" i="7"/>
  <c r="M8" i="7"/>
  <c r="L8" i="7"/>
  <c r="K8" i="7"/>
  <c r="I8" i="7"/>
  <c r="T7" i="7"/>
  <c r="Q7" i="7"/>
  <c r="M7" i="7"/>
  <c r="L7" i="7"/>
  <c r="K7" i="7"/>
  <c r="I7" i="7"/>
</calcChain>
</file>

<file path=xl/sharedStrings.xml><?xml version="1.0" encoding="utf-8"?>
<sst xmlns="http://schemas.openxmlformats.org/spreadsheetml/2006/main" count="388" uniqueCount="137">
  <si>
    <t xml:space="preserve"> AN-2601 packing list</t>
  </si>
  <si>
    <r>
      <rPr>
        <b/>
        <sz val="12"/>
        <rFont val="宋体"/>
        <charset val="134"/>
      </rPr>
      <t>日期：</t>
    </r>
  </si>
  <si>
    <r>
      <rPr>
        <sz val="12"/>
        <color theme="1"/>
        <rFont val="宋体"/>
        <charset val="134"/>
      </rPr>
      <t>材料成份</t>
    </r>
  </si>
  <si>
    <r>
      <rPr>
        <sz val="12"/>
        <color theme="1"/>
        <rFont val="宋体"/>
        <charset val="134"/>
      </rPr>
      <t>唛头</t>
    </r>
  </si>
  <si>
    <r>
      <rPr>
        <sz val="12"/>
        <color theme="1"/>
        <rFont val="宋体"/>
        <charset val="134"/>
      </rPr>
      <t>品名</t>
    </r>
  </si>
  <si>
    <r>
      <rPr>
        <sz val="12"/>
        <color theme="1"/>
        <rFont val="宋体"/>
        <charset val="134"/>
      </rPr>
      <t>款号</t>
    </r>
  </si>
  <si>
    <t>面料</t>
  </si>
  <si>
    <r>
      <rPr>
        <sz val="12"/>
        <color theme="1"/>
        <rFont val="宋体"/>
        <charset val="134"/>
      </rPr>
      <t>箱号</t>
    </r>
  </si>
  <si>
    <r>
      <rPr>
        <sz val="12"/>
        <color theme="1"/>
        <rFont val="宋体"/>
        <charset val="134"/>
      </rPr>
      <t>箱数</t>
    </r>
  </si>
  <si>
    <r>
      <rPr>
        <sz val="12"/>
        <color theme="1"/>
        <rFont val="宋体"/>
        <charset val="134"/>
      </rPr>
      <t>件</t>
    </r>
    <r>
      <rPr>
        <sz val="12"/>
        <color theme="1"/>
        <rFont val="Arial"/>
        <charset val="134"/>
      </rPr>
      <t>/</t>
    </r>
    <r>
      <rPr>
        <sz val="12"/>
        <color theme="1"/>
        <rFont val="宋体"/>
        <charset val="134"/>
      </rPr>
      <t>箱</t>
    </r>
  </si>
  <si>
    <r>
      <rPr>
        <sz val="12"/>
        <color theme="1"/>
        <rFont val="宋体"/>
        <charset val="134"/>
      </rPr>
      <t>总件数</t>
    </r>
  </si>
  <si>
    <r>
      <rPr>
        <sz val="12"/>
        <color theme="1"/>
        <rFont val="宋体"/>
        <charset val="134"/>
      </rPr>
      <t>毛重</t>
    </r>
  </si>
  <si>
    <r>
      <rPr>
        <sz val="12"/>
        <color theme="1"/>
        <rFont val="宋体"/>
        <charset val="134"/>
      </rPr>
      <t>净重</t>
    </r>
  </si>
  <si>
    <r>
      <rPr>
        <sz val="12"/>
        <color theme="1"/>
        <rFont val="宋体"/>
        <charset val="134"/>
      </rPr>
      <t>总毛重</t>
    </r>
  </si>
  <si>
    <r>
      <rPr>
        <sz val="12"/>
        <color theme="1"/>
        <rFont val="宋体"/>
        <charset val="134"/>
      </rPr>
      <t>总净重</t>
    </r>
  </si>
  <si>
    <r>
      <rPr>
        <sz val="12"/>
        <color theme="1"/>
        <rFont val="宋体"/>
        <charset val="134"/>
      </rPr>
      <t>箱规（</t>
    </r>
    <r>
      <rPr>
        <sz val="12"/>
        <color theme="1"/>
        <rFont val="Arial"/>
        <charset val="134"/>
      </rPr>
      <t>CM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</si>
  <si>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立方数</t>
    </r>
  </si>
  <si>
    <r>
      <rPr>
        <sz val="12"/>
        <color theme="1"/>
        <rFont val="宋体"/>
        <charset val="134"/>
      </rPr>
      <t>备注</t>
    </r>
  </si>
  <si>
    <t>单价</t>
  </si>
  <si>
    <t>金额</t>
  </si>
  <si>
    <t>fabric</t>
  </si>
  <si>
    <t>brand</t>
  </si>
  <si>
    <t>standard</t>
  </si>
  <si>
    <t>style no</t>
  </si>
  <si>
    <t>ctn no.</t>
  </si>
  <si>
    <t>ctns</t>
  </si>
  <si>
    <t>pc/ctn</t>
  </si>
  <si>
    <t>qty</t>
  </si>
  <si>
    <r>
      <rPr>
        <sz val="12"/>
        <color theme="1"/>
        <rFont val="宋体"/>
        <charset val="134"/>
      </rPr>
      <t>（</t>
    </r>
    <r>
      <rPr>
        <sz val="12"/>
        <color theme="1"/>
        <rFont val="Arial"/>
        <charset val="134"/>
      </rPr>
      <t>KGS</t>
    </r>
    <r>
      <rPr>
        <sz val="12"/>
        <color theme="1"/>
        <rFont val="宋体"/>
        <charset val="134"/>
      </rPr>
      <t>）</t>
    </r>
  </si>
  <si>
    <t>means(cm)</t>
  </si>
  <si>
    <t>cm</t>
  </si>
  <si>
    <r>
      <rPr>
        <sz val="12"/>
        <color theme="1"/>
        <rFont val="Arial"/>
        <charset val="134"/>
      </rPr>
      <t xml:space="preserve">100%POLYESTER
</t>
    </r>
    <r>
      <rPr>
        <sz val="12"/>
        <color theme="1"/>
        <rFont val="宋体"/>
        <charset val="134"/>
      </rPr>
      <t>针织</t>
    </r>
    <r>
      <rPr>
        <sz val="12"/>
        <color theme="1"/>
        <rFont val="Arial"/>
        <charset val="134"/>
      </rPr>
      <t xml:space="preserve"> </t>
    </r>
    <r>
      <rPr>
        <sz val="12"/>
        <color theme="1"/>
        <rFont val="宋体"/>
        <charset val="134"/>
      </rPr>
      <t>起绒</t>
    </r>
  </si>
  <si>
    <t xml:space="preserve">AMERICAN NICE </t>
  </si>
  <si>
    <t>男上衣</t>
  </si>
  <si>
    <t>JA26/01HSD</t>
  </si>
  <si>
    <t>蚂蚁布</t>
  </si>
  <si>
    <t>1-45</t>
  </si>
  <si>
    <t>MEN JACKET</t>
  </si>
  <si>
    <t>46</t>
  </si>
  <si>
    <t>女上衣</t>
  </si>
  <si>
    <t>JA25/01USD
PACK A</t>
  </si>
  <si>
    <t>摇粒复合布</t>
  </si>
  <si>
    <t>1-32</t>
  </si>
  <si>
    <t>LADY JACKET</t>
  </si>
  <si>
    <t>33-38</t>
  </si>
  <si>
    <t>JA25/01USD
PACK B</t>
  </si>
  <si>
    <t>1-33</t>
  </si>
  <si>
    <t>34-35</t>
  </si>
  <si>
    <t>36</t>
  </si>
  <si>
    <t>JA25/03USD
PACK A</t>
  </si>
  <si>
    <t>1-27</t>
  </si>
  <si>
    <t>28</t>
  </si>
  <si>
    <t>JA25/03USD
PACK B</t>
  </si>
  <si>
    <t>1-28</t>
  </si>
  <si>
    <t>女童上衣</t>
  </si>
  <si>
    <t>JA25/05ISD
PACK A</t>
  </si>
  <si>
    <t>1-17</t>
  </si>
  <si>
    <t>GIRL JACKET</t>
  </si>
  <si>
    <t>18</t>
  </si>
  <si>
    <t>JA25/05ISD
PACK B</t>
  </si>
  <si>
    <t>1-18</t>
  </si>
  <si>
    <t>total:</t>
  </si>
  <si>
    <t>款号</t>
  </si>
  <si>
    <t>牌子</t>
  </si>
  <si>
    <t>箱号</t>
  </si>
  <si>
    <t>颜色</t>
  </si>
  <si>
    <t>规格</t>
  </si>
  <si>
    <t>件数</t>
  </si>
  <si>
    <t>箱数</t>
  </si>
  <si>
    <t>件/箱</t>
  </si>
  <si>
    <t>总件数</t>
  </si>
  <si>
    <t>毛重</t>
  </si>
  <si>
    <t>净重</t>
  </si>
  <si>
    <t>总毛重</t>
  </si>
  <si>
    <t>总净重</t>
  </si>
  <si>
    <t>箱规</t>
  </si>
  <si>
    <t>立方</t>
  </si>
  <si>
    <t>备注</t>
  </si>
  <si>
    <t xml:space="preserve">style no </t>
  </si>
  <si>
    <t xml:space="preserve">carton no </t>
  </si>
  <si>
    <t>colour</t>
  </si>
  <si>
    <t>SIZE</t>
  </si>
  <si>
    <t>quantity  (pcs)</t>
  </si>
  <si>
    <t>ctn</t>
  </si>
  <si>
    <t>G.W</t>
  </si>
  <si>
    <t>N.W</t>
  </si>
  <si>
    <t>total 
gw</t>
  </si>
  <si>
    <t>total 
N.W</t>
  </si>
  <si>
    <t>total 
n.w</t>
  </si>
  <si>
    <t>cbm</t>
  </si>
  <si>
    <t xml:space="preserve">CH  </t>
  </si>
  <si>
    <t>M</t>
  </si>
  <si>
    <t>G</t>
  </si>
  <si>
    <t>XG</t>
  </si>
  <si>
    <t>2XG</t>
  </si>
  <si>
    <t>AMERICAN NICE</t>
  </si>
  <si>
    <t xml:space="preserve">BLACK </t>
  </si>
  <si>
    <t>GREEN</t>
  </si>
  <si>
    <t xml:space="preserve">BEIGE </t>
  </si>
  <si>
    <t>TOTAL :</t>
  </si>
  <si>
    <t>衣服外面</t>
  </si>
  <si>
    <t>衣服里面</t>
  </si>
  <si>
    <t>吊牌（正面）</t>
  </si>
  <si>
    <t>吊牌（反面）</t>
  </si>
  <si>
    <t>主唛＋号码</t>
  </si>
  <si>
    <t>洗水标</t>
  </si>
  <si>
    <t>胶带（正面）</t>
  </si>
  <si>
    <t>胶带（反面）</t>
  </si>
  <si>
    <t>纸箱（正唛）</t>
  </si>
  <si>
    <t>纸箱（侧唛）</t>
  </si>
  <si>
    <t>CH</t>
  </si>
  <si>
    <t>EG</t>
  </si>
  <si>
    <t>2EG</t>
  </si>
  <si>
    <t xml:space="preserve">FORMULA ONE </t>
  </si>
  <si>
    <t xml:space="preserve">FROSTY GREEN </t>
  </si>
  <si>
    <t>MAUVE GLOW</t>
  </si>
  <si>
    <t xml:space="preserve">WHITECAP GRAY </t>
  </si>
  <si>
    <t xml:space="preserve">SAXONY BLUE </t>
  </si>
  <si>
    <t>33</t>
  </si>
  <si>
    <t xml:space="preserve">WHITECAP GRAY  </t>
  </si>
  <si>
    <t>36-37</t>
  </si>
  <si>
    <t>38</t>
  </si>
  <si>
    <t>PINE CONE</t>
  </si>
  <si>
    <t xml:space="preserve">SMOKED PEARL  </t>
  </si>
  <si>
    <t>37</t>
  </si>
  <si>
    <t>BLACK /SMOKED PEARL</t>
  </si>
  <si>
    <t>FORMULA ONE /SMOKED PEARL</t>
  </si>
  <si>
    <t>FROSTY GREEN /WHITECAP GRAY</t>
  </si>
  <si>
    <t>MAUVE GLOW/WHITECAP GRAY</t>
  </si>
  <si>
    <t>WHITECAP GRAY/FROSTY GREEN</t>
  </si>
  <si>
    <t>SAXONY BLUE /SMOKED PEARL</t>
  </si>
  <si>
    <t>PINE CONE/WHITECAP GRAY</t>
  </si>
  <si>
    <t>SMOKED PEARL /BLACK</t>
  </si>
  <si>
    <t>WHITECAP GRAY /FROSTY GREEN</t>
  </si>
  <si>
    <t xml:space="preserve">FROSTY GREEN  </t>
  </si>
  <si>
    <t>WHITECAP GRAY</t>
  </si>
  <si>
    <t xml:space="preserve">SMOKED PEARL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</si>
</sst>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_ "/>
    <numFmt numFmtId="169" formatCode="yyyy&quot;年&quot;m&quot;月&quot;d&quot;日&quot;;@"/>
    <numFmt numFmtId="170" formatCode="0.00_);[Red]\(0.00\)"/>
    <numFmt numFmtId="171" formatCode="\$#,##0.00;\-\$#,##0.00"/>
  </numFmts>
  <fonts count="47">
    <font>
      <sz val="11"/>
      <color theme="1"/>
      <name val="Calibri"/>
      <charset val="134"/>
      <scheme val="minor"/>
    </font>
    <font>
      <sz val="12"/>
      <name val="宋体"/>
      <charset val="134"/>
    </font>
    <font>
      <sz val="13"/>
      <name val="Arial"/>
      <charset val="134"/>
    </font>
    <font>
      <sz val="13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2"/>
      <name val="Arial"/>
      <charset val="134"/>
    </font>
    <font>
      <b/>
      <sz val="13"/>
      <name val="Arial"/>
      <charset val="134"/>
    </font>
    <font>
      <b/>
      <sz val="12"/>
      <name val="宋体"/>
      <charset val="134"/>
    </font>
    <font>
      <sz val="12"/>
      <name val="Verdana"/>
      <charset val="134"/>
    </font>
    <font>
      <sz val="12"/>
      <name val="黑体"/>
      <charset val="134"/>
    </font>
    <font>
      <b/>
      <sz val="18"/>
      <name val="Arial"/>
      <charset val="134"/>
    </font>
    <font>
      <b/>
      <sz val="16"/>
      <name val="Arial"/>
      <charset val="134"/>
    </font>
    <font>
      <b/>
      <sz val="12"/>
      <name val="Arial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2"/>
      <color theme="1"/>
      <name val="Arial"/>
      <charset val="134"/>
    </font>
    <font>
      <b/>
      <sz val="12"/>
      <color theme="1"/>
      <name val="宋体"/>
      <charset val="134"/>
    </font>
    <font>
      <sz val="11"/>
      <color rgb="FFFF0000"/>
      <name val="Arial"/>
      <charset val="134"/>
    </font>
    <font>
      <sz val="16"/>
      <name val="Arial"/>
      <charset val="134"/>
    </font>
    <font>
      <sz val="16"/>
      <name val="宋体"/>
      <charset val="134"/>
    </font>
    <font>
      <sz val="13"/>
      <color theme="1"/>
      <name val="Calibri"/>
      <charset val="134"/>
      <scheme val="minor"/>
    </font>
    <font>
      <sz val="13"/>
      <color rgb="FFFF0000"/>
      <name val="宋体"/>
      <charset val="134"/>
    </font>
    <font>
      <sz val="13"/>
      <color rgb="FFFF0000"/>
      <name val="Tahoma"/>
      <charset val="134"/>
    </font>
    <font>
      <sz val="13"/>
      <color rgb="FFFF0000"/>
      <name val="Arial"/>
      <charset val="134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sz val="11"/>
      <color indexed="17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sz val="11"/>
      <color indexed="8"/>
      <name val="宋体"/>
      <charset val="134"/>
    </font>
    <font>
      <sz val="10"/>
      <name val="Verdana"/>
      <charset val="134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b/>
      <sz val="18"/>
      <color indexed="56"/>
      <name val="Cambria"/>
      <charset val="134"/>
    </font>
    <font>
      <sz val="11"/>
      <color indexed="20"/>
      <name val="宋体"/>
      <charset val="134"/>
    </font>
    <font>
      <sz val="11"/>
      <color indexed="14"/>
      <name val="宋体"/>
      <charset val="134"/>
    </font>
    <font>
      <sz val="11"/>
      <color indexed="16"/>
      <name val="宋体"/>
      <charset val="134"/>
    </font>
    <font>
      <sz val="11"/>
      <color indexed="17"/>
      <name val="宋体"/>
      <charset val="134"/>
    </font>
    <font>
      <sz val="11"/>
      <color theme="1"/>
      <name val="Calibri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60">
    <xf numFmtId="0" fontId="0" fillId="0" borderId="0">
      <alignment vertical="center"/>
    </xf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6" borderId="0" applyNumberFormat="0" applyBorder="0" applyAlignment="0" applyProtection="0"/>
    <xf numFmtId="0" fontId="25" fillId="9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>
      <alignment vertical="center"/>
    </xf>
    <xf numFmtId="0" fontId="29" fillId="21" borderId="16" applyNumberFormat="0" applyAlignment="0" applyProtection="0"/>
    <xf numFmtId="0" fontId="30" fillId="22" borderId="17" applyNumberFormat="0" applyAlignment="0" applyProtection="0"/>
    <xf numFmtId="0" fontId="34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35" fillId="0" borderId="19" applyNumberFormat="0" applyFill="0" applyAlignment="0" applyProtection="0"/>
    <xf numFmtId="0" fontId="36" fillId="0" borderId="20" applyNumberFormat="0" applyFill="0" applyAlignment="0" applyProtection="0"/>
    <xf numFmtId="0" fontId="32" fillId="0" borderId="21" applyNumberFormat="0" applyFill="0" applyAlignment="0" applyProtection="0"/>
    <xf numFmtId="0" fontId="32" fillId="0" borderId="0" applyNumberFormat="0" applyFill="0" applyBorder="0" applyAlignment="0" applyProtection="0"/>
    <xf numFmtId="0" fontId="33" fillId="8" borderId="16" applyNumberFormat="0" applyAlignment="0" applyProtection="0"/>
    <xf numFmtId="0" fontId="31" fillId="0" borderId="18" applyNumberFormat="0" applyFill="0" applyAlignment="0" applyProtection="0"/>
    <xf numFmtId="0" fontId="37" fillId="0" borderId="0">
      <alignment vertical="center"/>
    </xf>
    <xf numFmtId="0" fontId="37" fillId="0" borderId="0" applyProtection="0">
      <alignment vertical="center"/>
    </xf>
    <xf numFmtId="0" fontId="25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23" borderId="22" applyNumberFormat="0" applyFont="0" applyAlignment="0" applyProtection="0"/>
    <xf numFmtId="0" fontId="39" fillId="21" borderId="23" applyNumberFormat="0" applyAlignment="0" applyProtection="0"/>
    <xf numFmtId="0" fontId="41" fillId="0" borderId="0" applyNumberFormat="0" applyFill="0" applyBorder="0" applyAlignment="0" applyProtection="0"/>
    <xf numFmtId="0" fontId="35" fillId="0" borderId="19" applyNumberFormat="0" applyFill="0" applyAlignment="0" applyProtection="0">
      <alignment vertical="center"/>
    </xf>
    <xf numFmtId="0" fontId="40" fillId="0" borderId="0" applyNumberFormat="0" applyFill="0" applyBorder="0" applyAlignment="0" applyProtection="0"/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6" fillId="0" borderId="0"/>
    <xf numFmtId="0" fontId="1" fillId="0" borderId="0"/>
    <xf numFmtId="0" fontId="46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9" fontId="5" fillId="0" borderId="5" xfId="113" applyNumberFormat="1" applyFont="1" applyBorder="1" applyAlignment="1">
      <alignment horizontal="center" vertical="center" wrapText="1"/>
    </xf>
    <xf numFmtId="0" fontId="5" fillId="0" borderId="13" xfId="113" applyFont="1" applyBorder="1" applyAlignment="1">
      <alignment horizontal="center" vertical="center"/>
    </xf>
    <xf numFmtId="0" fontId="5" fillId="0" borderId="1" xfId="113" applyFont="1" applyBorder="1" applyAlignment="1">
      <alignment horizontal="center" vertical="center"/>
    </xf>
    <xf numFmtId="0" fontId="5" fillId="0" borderId="0" xfId="113" applyFont="1" applyAlignment="1">
      <alignment horizontal="center" vertical="center"/>
    </xf>
    <xf numFmtId="169" fontId="13" fillId="0" borderId="14" xfId="113" applyNumberFormat="1" applyFont="1" applyBorder="1" applyAlignment="1">
      <alignment horizontal="center" vertical="center"/>
    </xf>
    <xf numFmtId="0" fontId="13" fillId="0" borderId="0" xfId="113" applyFont="1" applyAlignment="1">
      <alignment horizontal="right" vertical="center"/>
    </xf>
    <xf numFmtId="0" fontId="8" fillId="0" borderId="11" xfId="40" applyFont="1" applyBorder="1" applyAlignment="1">
      <alignment horizontal="center"/>
    </xf>
    <xf numFmtId="0" fontId="5" fillId="0" borderId="5" xfId="114" applyFont="1" applyBorder="1" applyAlignment="1">
      <alignment horizontal="center" vertical="center" wrapText="1"/>
    </xf>
    <xf numFmtId="0" fontId="16" fillId="0" borderId="1" xfId="113" applyFont="1" applyBorder="1" applyAlignment="1">
      <alignment horizontal="center" vertical="center" shrinkToFit="1"/>
    </xf>
    <xf numFmtId="49" fontId="8" fillId="0" borderId="0" xfId="108" applyNumberFormat="1" applyFont="1" applyAlignment="1">
      <alignment horizontal="center" vertical="center"/>
    </xf>
    <xf numFmtId="0" fontId="8" fillId="0" borderId="11" xfId="108" applyFont="1" applyBorder="1" applyAlignment="1">
      <alignment horizontal="center" vertical="center"/>
    </xf>
    <xf numFmtId="0" fontId="8" fillId="0" borderId="11" xfId="108" applyFont="1" applyBorder="1" applyAlignment="1">
      <alignment horizontal="center" wrapText="1"/>
    </xf>
    <xf numFmtId="0" fontId="11" fillId="0" borderId="0" xfId="113" applyFont="1" applyAlignment="1">
      <alignment horizontal="center" vertical="center"/>
    </xf>
    <xf numFmtId="9" fontId="5" fillId="0" borderId="9" xfId="113" applyNumberFormat="1" applyFont="1" applyBorder="1" applyAlignment="1">
      <alignment horizontal="center" vertical="center" wrapText="1"/>
    </xf>
    <xf numFmtId="9" fontId="5" fillId="0" borderId="7" xfId="113" applyNumberFormat="1" applyFont="1" applyBorder="1" applyAlignment="1">
      <alignment horizontal="center" vertical="center" wrapText="1"/>
    </xf>
    <xf numFmtId="0" fontId="2" fillId="0" borderId="3" xfId="110" applyFont="1" applyBorder="1" applyAlignment="1">
      <alignment horizontal="center" vertical="center"/>
    </xf>
    <xf numFmtId="0" fontId="2" fillId="0" borderId="1" xfId="110" applyFont="1" applyBorder="1" applyAlignment="1">
      <alignment horizontal="center" vertical="center" wrapText="1"/>
    </xf>
    <xf numFmtId="49" fontId="3" fillId="0" borderId="7" xfId="108" applyNumberFormat="1" applyFont="1" applyBorder="1" applyAlignment="1">
      <alignment horizontal="center" vertical="center"/>
    </xf>
    <xf numFmtId="49" fontId="2" fillId="0" borderId="5" xfId="110" applyNumberFormat="1" applyFont="1" applyBorder="1" applyAlignment="1">
      <alignment horizontal="center" vertical="center"/>
    </xf>
    <xf numFmtId="49" fontId="1" fillId="0" borderId="4" xfId="110" applyNumberFormat="1" applyBorder="1" applyAlignment="1">
      <alignment horizontal="center" vertical="center"/>
    </xf>
    <xf numFmtId="0" fontId="3" fillId="0" borderId="7" xfId="110" applyFont="1" applyBorder="1" applyAlignment="1">
      <alignment horizontal="center" vertical="center" wrapText="1"/>
    </xf>
    <xf numFmtId="49" fontId="3" fillId="0" borderId="5" xfId="108" applyNumberFormat="1" applyFont="1" applyBorder="1" applyAlignment="1">
      <alignment horizontal="center" vertical="center"/>
    </xf>
    <xf numFmtId="0" fontId="2" fillId="0" borderId="5" xfId="110" applyFont="1" applyBorder="1" applyAlignment="1">
      <alignment horizontal="center" vertical="center"/>
    </xf>
    <xf numFmtId="49" fontId="1" fillId="0" borderId="3" xfId="110" applyNumberFormat="1" applyBorder="1" applyAlignment="1">
      <alignment horizontal="center" vertical="center"/>
    </xf>
    <xf numFmtId="0" fontId="3" fillId="0" borderId="5" xfId="110" applyFont="1" applyBorder="1" applyAlignment="1">
      <alignment horizontal="center" vertical="center" wrapText="1"/>
    </xf>
    <xf numFmtId="49" fontId="2" fillId="0" borderId="7" xfId="110" applyNumberFormat="1" applyFont="1" applyBorder="1" applyAlignment="1">
      <alignment horizontal="center" vertical="center" wrapText="1"/>
    </xf>
    <xf numFmtId="0" fontId="2" fillId="0" borderId="1" xfId="110" applyFont="1" applyBorder="1" applyAlignment="1">
      <alignment horizontal="center" vertical="center"/>
    </xf>
    <xf numFmtId="49" fontId="1" fillId="0" borderId="2" xfId="110" applyNumberFormat="1" applyBorder="1" applyAlignment="1">
      <alignment horizontal="center" vertical="center"/>
    </xf>
    <xf numFmtId="0" fontId="2" fillId="0" borderId="9" xfId="110" applyFont="1" applyBorder="1" applyAlignment="1">
      <alignment horizontal="center" vertical="center" wrapText="1"/>
    </xf>
    <xf numFmtId="49" fontId="2" fillId="0" borderId="5" xfId="110" applyNumberFormat="1" applyFont="1" applyBorder="1" applyAlignment="1">
      <alignment horizontal="center" vertical="center" wrapText="1"/>
    </xf>
    <xf numFmtId="0" fontId="8" fillId="0" borderId="0" xfId="108" applyFont="1" applyAlignment="1">
      <alignment horizontal="center" vertical="center"/>
    </xf>
    <xf numFmtId="0" fontId="5" fillId="0" borderId="7" xfId="114" applyFont="1" applyBorder="1" applyAlignment="1">
      <alignment horizontal="center" vertical="center" wrapText="1"/>
    </xf>
    <xf numFmtId="0" fontId="2" fillId="0" borderId="5" xfId="110" applyFont="1" applyBorder="1" applyAlignment="1">
      <alignment horizontal="center" vertical="center" wrapText="1"/>
    </xf>
    <xf numFmtId="0" fontId="2" fillId="0" borderId="7" xfId="110" applyFont="1" applyBorder="1" applyAlignment="1">
      <alignment horizontal="center" vertical="center"/>
    </xf>
    <xf numFmtId="0" fontId="8" fillId="0" borderId="0" xfId="108" applyFont="1" applyAlignment="1">
      <alignment horizontal="center" wrapText="1"/>
    </xf>
    <xf numFmtId="0" fontId="5" fillId="0" borderId="9" xfId="114" applyFont="1" applyBorder="1" applyAlignment="1">
      <alignment horizontal="center" vertical="center" wrapText="1"/>
    </xf>
    <xf numFmtId="0" fontId="2" fillId="0" borderId="8" xfId="110" applyFont="1" applyBorder="1" applyAlignment="1">
      <alignment horizontal="center" vertical="center"/>
    </xf>
    <xf numFmtId="49" fontId="2" fillId="0" borderId="7" xfId="110" applyNumberFormat="1" applyFont="1" applyBorder="1" applyAlignment="1">
      <alignment horizontal="center" vertical="center"/>
    </xf>
    <xf numFmtId="0" fontId="8" fillId="0" borderId="0" xfId="40" applyFont="1" applyAlignment="1">
      <alignment horizontal="center"/>
    </xf>
    <xf numFmtId="0" fontId="46" fillId="0" borderId="0" xfId="108">
      <alignment vertical="center"/>
    </xf>
    <xf numFmtId="49" fontId="1" fillId="0" borderId="1" xfId="110" applyNumberFormat="1" applyBorder="1" applyAlignment="1">
      <alignment horizontal="center" vertical="center"/>
    </xf>
    <xf numFmtId="49" fontId="1" fillId="0" borderId="3" xfId="110" applyNumberFormat="1" applyBorder="1" applyAlignment="1">
      <alignment horizontal="center" vertical="center"/>
    </xf>
    <xf numFmtId="0" fontId="2" fillId="0" borderId="1" xfId="110" applyFont="1" applyBorder="1" applyAlignment="1">
      <alignment horizontal="center" vertical="center"/>
    </xf>
    <xf numFmtId="0" fontId="2" fillId="0" borderId="5" xfId="110" applyFont="1" applyBorder="1" applyAlignment="1">
      <alignment horizontal="center" vertical="center"/>
    </xf>
    <xf numFmtId="0" fontId="2" fillId="0" borderId="5" xfId="110" applyFont="1" applyBorder="1" applyAlignment="1">
      <alignment horizontal="center" vertical="center" wrapText="1"/>
    </xf>
    <xf numFmtId="0" fontId="3" fillId="0" borderId="5" xfId="110" applyFont="1" applyBorder="1" applyAlignment="1">
      <alignment horizontal="center" vertical="center" wrapText="1"/>
    </xf>
    <xf numFmtId="0" fontId="2" fillId="0" borderId="1" xfId="110" applyFont="1" applyBorder="1" applyAlignment="1">
      <alignment horizontal="center" vertical="center" wrapText="1"/>
    </xf>
    <xf numFmtId="0" fontId="2" fillId="0" borderId="9" xfId="11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114" applyFont="1" applyBorder="1" applyAlignment="1">
      <alignment horizontal="center" vertical="center"/>
    </xf>
    <xf numFmtId="0" fontId="6" fillId="0" borderId="1" xfId="113" applyFont="1" applyBorder="1" applyAlignment="1">
      <alignment horizontal="center" vertical="center"/>
    </xf>
    <xf numFmtId="0" fontId="5" fillId="0" borderId="5" xfId="113" applyFont="1" applyBorder="1" applyAlignment="1">
      <alignment horizontal="center" vertical="center"/>
    </xf>
    <xf numFmtId="168" fontId="2" fillId="0" borderId="5" xfId="110" applyNumberFormat="1" applyFont="1" applyBorder="1" applyAlignment="1">
      <alignment horizontal="center" vertical="center" wrapText="1"/>
    </xf>
    <xf numFmtId="0" fontId="5" fillId="0" borderId="6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0" xfId="0" applyFont="1">
      <alignment vertical="center"/>
    </xf>
    <xf numFmtId="0" fontId="5" fillId="0" borderId="13" xfId="0" applyFont="1" applyBorder="1">
      <alignment vertical="center"/>
    </xf>
    <xf numFmtId="0" fontId="5" fillId="0" borderId="1" xfId="113" applyFont="1" applyBorder="1" applyAlignment="1">
      <alignment horizontal="center" vertical="center"/>
    </xf>
    <xf numFmtId="168" fontId="2" fillId="0" borderId="1" xfId="110" applyNumberFormat="1" applyFont="1" applyBorder="1" applyAlignment="1">
      <alignment horizontal="center" vertical="center" wrapText="1"/>
    </xf>
    <xf numFmtId="49" fontId="7" fillId="0" borderId="1" xfId="110" applyNumberFormat="1" applyFont="1" applyBorder="1" applyAlignment="1">
      <alignment horizontal="center" vertical="center"/>
    </xf>
    <xf numFmtId="49" fontId="7" fillId="0" borderId="1" xfId="110" applyNumberFormat="1" applyFont="1" applyBorder="1">
      <alignment vertical="center"/>
    </xf>
    <xf numFmtId="49" fontId="7" fillId="0" borderId="4" xfId="110" applyNumberFormat="1" applyFont="1" applyBorder="1" applyAlignment="1">
      <alignment horizontal="center" vertical="center"/>
    </xf>
    <xf numFmtId="0" fontId="7" fillId="0" borderId="1" xfId="110" applyFont="1" applyBorder="1" applyAlignment="1">
      <alignment horizontal="center" vertical="center"/>
    </xf>
    <xf numFmtId="0" fontId="7" fillId="0" borderId="2" xfId="110" applyFont="1" applyBorder="1" applyAlignment="1">
      <alignment horizontal="center" vertical="center"/>
    </xf>
    <xf numFmtId="168" fontId="7" fillId="0" borderId="1" xfId="110" applyNumberFormat="1" applyFont="1" applyBorder="1" applyAlignment="1">
      <alignment horizontal="center" vertical="center"/>
    </xf>
    <xf numFmtId="0" fontId="8" fillId="0" borderId="0" xfId="40" applyFont="1" applyAlignment="1">
      <alignment horizontal="center" shrinkToFit="1"/>
    </xf>
    <xf numFmtId="49" fontId="1" fillId="0" borderId="0" xfId="108" applyNumberFormat="1" applyFont="1">
      <alignment vertical="center"/>
    </xf>
    <xf numFmtId="0" fontId="1" fillId="0" borderId="0" xfId="108" applyFont="1" applyAlignment="1">
      <alignment horizontal="center" vertical="center"/>
    </xf>
    <xf numFmtId="49" fontId="8" fillId="0" borderId="0" xfId="108" applyNumberFormat="1" applyFont="1">
      <alignment vertical="center"/>
    </xf>
    <xf numFmtId="0" fontId="8" fillId="0" borderId="0" xfId="108" applyFont="1" applyAlignment="1">
      <alignment horizontal="center" wrapText="1"/>
    </xf>
    <xf numFmtId="0" fontId="9" fillId="0" borderId="0" xfId="40" applyFont="1" applyAlignment="1"/>
    <xf numFmtId="0" fontId="9" fillId="0" borderId="0" xfId="40" applyFont="1" applyAlignment="1">
      <alignment horizontal="center"/>
    </xf>
    <xf numFmtId="49" fontId="1" fillId="0" borderId="0" xfId="108" applyNumberFormat="1" applyFont="1" applyAlignment="1">
      <alignment horizontal="center" vertical="center"/>
    </xf>
    <xf numFmtId="2" fontId="1" fillId="0" borderId="0" xfId="108" applyNumberFormat="1" applyFont="1" applyAlignment="1">
      <alignment horizontal="center" vertical="center"/>
    </xf>
    <xf numFmtId="0" fontId="9" fillId="0" borderId="0" xfId="40" applyFont="1" applyAlignment="1">
      <alignment shrinkToFit="1"/>
    </xf>
    <xf numFmtId="0" fontId="4" fillId="2" borderId="1" xfId="0" applyFont="1" applyFill="1" applyBorder="1">
      <alignment vertical="center"/>
    </xf>
    <xf numFmtId="0" fontId="5" fillId="0" borderId="8" xfId="0" applyFont="1" applyBorder="1">
      <alignment vertical="center"/>
    </xf>
    <xf numFmtId="0" fontId="5" fillId="0" borderId="14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5" xfId="0" applyFont="1" applyBorder="1">
      <alignment vertical="center"/>
    </xf>
    <xf numFmtId="0" fontId="10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3" fillId="0" borderId="1" xfId="11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1" xfId="11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1" fillId="0" borderId="0" xfId="1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113" applyFont="1">
      <alignment vertical="center"/>
    </xf>
    <xf numFmtId="0" fontId="6" fillId="0" borderId="0" xfId="0" applyFont="1">
      <alignment vertical="center"/>
    </xf>
    <xf numFmtId="0" fontId="6" fillId="0" borderId="0" xfId="113" applyFont="1">
      <alignment vertical="center"/>
    </xf>
    <xf numFmtId="169" fontId="13" fillId="0" borderId="14" xfId="113" applyNumberFormat="1" applyFont="1" applyBorder="1" applyAlignment="1">
      <alignment horizontal="center" vertical="center"/>
    </xf>
    <xf numFmtId="0" fontId="13" fillId="0" borderId="14" xfId="113" applyFont="1" applyBorder="1" applyAlignment="1">
      <alignment horizontal="right" vertical="center"/>
    </xf>
    <xf numFmtId="169" fontId="13" fillId="0" borderId="0" xfId="113" applyNumberFormat="1" applyFont="1" applyAlignment="1">
      <alignment horizontal="center" vertical="center"/>
    </xf>
    <xf numFmtId="0" fontId="5" fillId="0" borderId="5" xfId="113" applyFont="1" applyBorder="1" applyAlignment="1">
      <alignment horizontal="center" vertical="center" textRotation="255"/>
    </xf>
    <xf numFmtId="0" fontId="14" fillId="0" borderId="1" xfId="113" applyFont="1" applyBorder="1" applyAlignment="1">
      <alignment horizontal="center" vertical="center"/>
    </xf>
    <xf numFmtId="49" fontId="5" fillId="0" borderId="1" xfId="113" applyNumberFormat="1" applyFont="1" applyBorder="1" applyAlignment="1">
      <alignment horizontal="center" vertical="center"/>
    </xf>
    <xf numFmtId="0" fontId="5" fillId="0" borderId="5" xfId="113" applyFont="1" applyBorder="1" applyAlignment="1">
      <alignment horizontal="center" vertical="center" wrapText="1"/>
    </xf>
    <xf numFmtId="170" fontId="5" fillId="0" borderId="5" xfId="113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113" applyFont="1" applyBorder="1" applyAlignment="1">
      <alignment horizontal="center" vertical="center" wrapText="1"/>
    </xf>
    <xf numFmtId="169" fontId="16" fillId="0" borderId="1" xfId="113" applyNumberFormat="1" applyFont="1" applyBorder="1" applyAlignment="1">
      <alignment horizontal="center" vertical="center"/>
    </xf>
    <xf numFmtId="169" fontId="17" fillId="0" borderId="1" xfId="113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4" fillId="0" borderId="5" xfId="113" applyNumberFormat="1" applyFont="1" applyBorder="1" applyAlignment="1">
      <alignment horizontal="center" vertical="center" wrapText="1"/>
    </xf>
    <xf numFmtId="0" fontId="5" fillId="0" borderId="5" xfId="114" applyFont="1" applyBorder="1" applyAlignment="1">
      <alignment horizontal="center" vertical="center" wrapText="1"/>
    </xf>
    <xf numFmtId="0" fontId="14" fillId="0" borderId="5" xfId="114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168" fontId="5" fillId="0" borderId="5" xfId="113" applyNumberFormat="1" applyFont="1" applyBorder="1" applyAlignment="1">
      <alignment horizontal="center" vertical="center"/>
    </xf>
    <xf numFmtId="14" fontId="5" fillId="0" borderId="5" xfId="113" applyNumberFormat="1" applyFont="1" applyBorder="1" applyAlignment="1">
      <alignment horizontal="left" vertical="center"/>
    </xf>
    <xf numFmtId="171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6" fillId="0" borderId="1" xfId="113" applyFont="1" applyBorder="1" applyAlignment="1">
      <alignment horizontal="center" vertical="center" shrinkToFit="1"/>
    </xf>
    <xf numFmtId="170" fontId="16" fillId="0" borderId="1" xfId="113" applyNumberFormat="1" applyFont="1" applyBorder="1" applyAlignment="1">
      <alignment horizontal="center" vertical="center" shrinkToFit="1"/>
    </xf>
    <xf numFmtId="0" fontId="19" fillId="0" borderId="0" xfId="113" applyFont="1" applyAlignment="1">
      <alignment horizontal="center" vertical="center"/>
    </xf>
    <xf numFmtId="170" fontId="19" fillId="0" borderId="0" xfId="113" applyNumberFormat="1" applyFont="1" applyAlignment="1">
      <alignment horizontal="center" vertical="center"/>
    </xf>
    <xf numFmtId="0" fontId="6" fillId="0" borderId="0" xfId="113" applyFont="1" applyAlignment="1">
      <alignment horizontal="center" vertical="center"/>
    </xf>
    <xf numFmtId="168" fontId="6" fillId="0" borderId="0" xfId="113" applyNumberFormat="1" applyFont="1" applyAlignment="1">
      <alignment horizontal="center" vertical="center"/>
    </xf>
    <xf numFmtId="0" fontId="6" fillId="0" borderId="0" xfId="113" applyFont="1" applyAlignment="1">
      <alignment horizontal="left" vertical="center"/>
    </xf>
    <xf numFmtId="0" fontId="6" fillId="0" borderId="0" xfId="114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20" fillId="0" borderId="0" xfId="113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1" fillId="0" borderId="0" xfId="113" applyAlignment="1">
      <alignment horizontal="center" vertical="center"/>
    </xf>
    <xf numFmtId="0" fontId="22" fillId="0" borderId="0" xfId="107" applyFont="1" applyAlignment="1">
      <alignment horizontal="right" vertical="center"/>
    </xf>
    <xf numFmtId="0" fontId="23" fillId="0" borderId="0" xfId="0" applyFont="1">
      <alignment vertical="center"/>
    </xf>
    <xf numFmtId="169" fontId="24" fillId="0" borderId="0" xfId="107" applyNumberFormat="1" applyFont="1" applyAlignment="1">
      <alignment horizontal="left" vertical="center"/>
    </xf>
    <xf numFmtId="0" fontId="21" fillId="0" borderId="0" xfId="106" applyFont="1" applyAlignment="1">
      <alignment horizontal="right" vertical="center"/>
    </xf>
    <xf numFmtId="0" fontId="21" fillId="0" borderId="0" xfId="106" applyFont="1" applyAlignment="1">
      <alignment horizontal="left" vertical="center"/>
    </xf>
    <xf numFmtId="0" fontId="2" fillId="0" borderId="9" xfId="110" applyFont="1" applyBorder="1" applyAlignment="1">
      <alignment horizontal="center" vertical="center"/>
    </xf>
    <xf numFmtId="2" fontId="2" fillId="0" borderId="6" xfId="110" applyNumberFormat="1" applyFont="1" applyBorder="1" applyAlignment="1">
      <alignment horizontal="center" vertical="center"/>
    </xf>
    <xf numFmtId="2" fontId="2" fillId="0" borderId="10" xfId="110" applyNumberFormat="1" applyFont="1" applyBorder="1" applyAlignment="1">
      <alignment horizontal="center" vertical="center"/>
    </xf>
    <xf numFmtId="0" fontId="1" fillId="0" borderId="5" xfId="110" applyBorder="1" applyAlignment="1">
      <alignment horizontal="center" vertical="center"/>
    </xf>
    <xf numFmtId="0" fontId="1" fillId="0" borderId="7" xfId="110" applyBorder="1" applyAlignment="1">
      <alignment horizontal="center" vertical="center"/>
    </xf>
    <xf numFmtId="49" fontId="2" fillId="0" borderId="9" xfId="110" applyNumberFormat="1" applyFont="1" applyBorder="1" applyAlignment="1">
      <alignment horizontal="center" vertical="center" wrapText="1"/>
    </xf>
    <xf numFmtId="49" fontId="3" fillId="0" borderId="9" xfId="108" applyNumberFormat="1" applyFont="1" applyBorder="1" applyAlignment="1">
      <alignment horizontal="center" vertical="center"/>
    </xf>
    <xf numFmtId="49" fontId="3" fillId="0" borderId="1" xfId="108" applyNumberFormat="1" applyFont="1" applyBorder="1" applyAlignment="1">
      <alignment horizontal="center" vertical="center"/>
    </xf>
    <xf numFmtId="0" fontId="8" fillId="0" borderId="0" xfId="40" applyFont="1" applyAlignment="1">
      <alignment horizontal="center" vertical="center"/>
    </xf>
    <xf numFmtId="0" fontId="8" fillId="0" borderId="0" xfId="108" applyFont="1" applyAlignment="1">
      <alignment horizontal="center" vertical="center" wrapText="1"/>
    </xf>
  </cellXfs>
  <cellStyles count="160">
    <cellStyle name="20% - Accent1" xfId="1" xr:uid="{00000000-0005-0000-0000-000031000000}"/>
    <cellStyle name="20% - Accent2" xfId="2" xr:uid="{00000000-0005-0000-0000-000032000000}"/>
    <cellStyle name="20% - Accent3" xfId="3" xr:uid="{00000000-0005-0000-0000-000033000000}"/>
    <cellStyle name="20% - Accent4" xfId="4" xr:uid="{00000000-0005-0000-0000-000034000000}"/>
    <cellStyle name="20% - Accent5" xfId="5" xr:uid="{00000000-0005-0000-0000-000035000000}"/>
    <cellStyle name="20% - Accent6" xfId="6" xr:uid="{00000000-0005-0000-0000-000036000000}"/>
    <cellStyle name="40% - Accent1" xfId="7" xr:uid="{00000000-0005-0000-0000-000037000000}"/>
    <cellStyle name="40% - Accent2" xfId="8" xr:uid="{00000000-0005-0000-0000-000038000000}"/>
    <cellStyle name="40% - Accent3" xfId="9" xr:uid="{00000000-0005-0000-0000-000039000000}"/>
    <cellStyle name="40% - Accent4" xfId="10" xr:uid="{00000000-0005-0000-0000-00003A000000}"/>
    <cellStyle name="40% - Accent5" xfId="11" xr:uid="{00000000-0005-0000-0000-00003B000000}"/>
    <cellStyle name="40% - Accent6" xfId="12" xr:uid="{00000000-0005-0000-0000-00003C000000}"/>
    <cellStyle name="60% - Accent1" xfId="13" xr:uid="{00000000-0005-0000-0000-00003D000000}"/>
    <cellStyle name="60% - Accent2" xfId="14" xr:uid="{00000000-0005-0000-0000-00003E000000}"/>
    <cellStyle name="60% - Accent3" xfId="15" xr:uid="{00000000-0005-0000-0000-00003F000000}"/>
    <cellStyle name="60% - Accent4" xfId="16" xr:uid="{00000000-0005-0000-0000-000040000000}"/>
    <cellStyle name="60% - Accent5" xfId="17" xr:uid="{00000000-0005-0000-0000-000041000000}"/>
    <cellStyle name="60% - Accent6" xfId="18" xr:uid="{00000000-0005-0000-0000-000042000000}"/>
    <cellStyle name="Accent1" xfId="19" xr:uid="{00000000-0005-0000-0000-000043000000}"/>
    <cellStyle name="Accent2" xfId="20" xr:uid="{00000000-0005-0000-0000-000044000000}"/>
    <cellStyle name="Accent3" xfId="21" xr:uid="{00000000-0005-0000-0000-000045000000}"/>
    <cellStyle name="Accent4" xfId="22" xr:uid="{00000000-0005-0000-0000-000046000000}"/>
    <cellStyle name="Accent5" xfId="23" xr:uid="{00000000-0005-0000-0000-000047000000}"/>
    <cellStyle name="Accent6" xfId="24" xr:uid="{00000000-0005-0000-0000-000048000000}"/>
    <cellStyle name="Bad" xfId="25" xr:uid="{00000000-0005-0000-0000-000049000000}"/>
    <cellStyle name="Buena" xfId="26" xr:uid="{00000000-0005-0000-0000-00004A000000}"/>
    <cellStyle name="Calculation" xfId="27" xr:uid="{00000000-0005-0000-0000-00004B000000}"/>
    <cellStyle name="Check Cell" xfId="28" xr:uid="{00000000-0005-0000-0000-00004C000000}"/>
    <cellStyle name="Explanatory Text" xfId="29" xr:uid="{00000000-0005-0000-0000-00004D000000}"/>
    <cellStyle name="Good" xfId="30" xr:uid="{00000000-0005-0000-0000-00004E000000}"/>
    <cellStyle name="Heading 1" xfId="31" xr:uid="{00000000-0005-0000-0000-00004F000000}"/>
    <cellStyle name="Heading 2" xfId="32" xr:uid="{00000000-0005-0000-0000-000050000000}"/>
    <cellStyle name="Heading 3" xfId="33" xr:uid="{00000000-0005-0000-0000-000051000000}"/>
    <cellStyle name="Heading 4" xfId="34" xr:uid="{00000000-0005-0000-0000-000052000000}"/>
    <cellStyle name="Input" xfId="35" xr:uid="{00000000-0005-0000-0000-000053000000}"/>
    <cellStyle name="Linked Cell" xfId="36" xr:uid="{00000000-0005-0000-0000-000054000000}"/>
    <cellStyle name="Normal" xfId="0" builtinId="0"/>
    <cellStyle name="Normal 2" xfId="37" xr:uid="{00000000-0005-0000-0000-000055000000}"/>
    <cellStyle name="Normal 2 2" xfId="38" xr:uid="{00000000-0005-0000-0000-000056000000}"/>
    <cellStyle name="Normal 2_配比及预毛" xfId="39" xr:uid="{00000000-0005-0000-0000-000057000000}"/>
    <cellStyle name="Normal 3" xfId="40" xr:uid="{00000000-0005-0000-0000-000058000000}"/>
    <cellStyle name="Normal 3 2" xfId="41" xr:uid="{00000000-0005-0000-0000-000059000000}"/>
    <cellStyle name="Normal 6" xfId="42" xr:uid="{00000000-0005-0000-0000-00005A000000}"/>
    <cellStyle name="Normal 6 2" xfId="43" xr:uid="{00000000-0005-0000-0000-00005B000000}"/>
    <cellStyle name="Note" xfId="44" xr:uid="{00000000-0005-0000-0000-00005C000000}"/>
    <cellStyle name="Output" xfId="45" xr:uid="{00000000-0005-0000-0000-00005D000000}"/>
    <cellStyle name="Title" xfId="46" xr:uid="{00000000-0005-0000-0000-00005E000000}"/>
    <cellStyle name="Título 1" xfId="47" xr:uid="{00000000-0005-0000-0000-00005F000000}"/>
    <cellStyle name="Warning Text" xfId="48" xr:uid="{00000000-0005-0000-0000-000060000000}"/>
    <cellStyle name="好_A组箱唛" xfId="115" xr:uid="{00000000-0005-0000-0000-0000A3000000}"/>
    <cellStyle name="好_B组箱唛" xfId="116" xr:uid="{00000000-0005-0000-0000-0000A4000000}"/>
    <cellStyle name="好_C组箱唛 " xfId="117" xr:uid="{00000000-0005-0000-0000-0000A5000000}"/>
    <cellStyle name="好_Hoja1" xfId="118" xr:uid="{00000000-0005-0000-0000-0000A6000000}"/>
    <cellStyle name="好_Hoja2" xfId="119" xr:uid="{00000000-0005-0000-0000-0000A7000000}"/>
    <cellStyle name="好_pack A" xfId="120" xr:uid="{00000000-0005-0000-0000-0000A8000000}"/>
    <cellStyle name="好_pack A_1" xfId="121" xr:uid="{00000000-0005-0000-0000-0000A9000000}"/>
    <cellStyle name="好_pack A_1_装箱单" xfId="122" xr:uid="{00000000-0005-0000-0000-0000AA000000}"/>
    <cellStyle name="好_pack B" xfId="123" xr:uid="{00000000-0005-0000-0000-0000AB000000}"/>
    <cellStyle name="好_pack B_1" xfId="124" xr:uid="{00000000-0005-0000-0000-0000AC000000}"/>
    <cellStyle name="好_pack B_1_装箱单" xfId="125" xr:uid="{00000000-0005-0000-0000-0000AD000000}"/>
    <cellStyle name="好_pack C" xfId="126" xr:uid="{00000000-0005-0000-0000-0000AE000000}"/>
    <cellStyle name="好_packing " xfId="127" xr:uid="{00000000-0005-0000-0000-0000AF000000}"/>
    <cellStyle name="好_packing _装箱单" xfId="128" xr:uid="{00000000-0005-0000-0000-0000B0000000}"/>
    <cellStyle name="好_packing list" xfId="129" xr:uid="{00000000-0005-0000-0000-0000B1000000}"/>
    <cellStyle name="好_packing list_1" xfId="130" xr:uid="{00000000-0005-0000-0000-0000B2000000}"/>
    <cellStyle name="好_packing list_装箱单" xfId="131" xr:uid="{00000000-0005-0000-0000-0000B3000000}"/>
    <cellStyle name="好_PL" xfId="132" xr:uid="{00000000-0005-0000-0000-0000B4000000}"/>
    <cellStyle name="好_Sheet3" xfId="133" xr:uid="{00000000-0005-0000-0000-0000B5000000}"/>
    <cellStyle name="好_Sheet3_装箱单" xfId="134" xr:uid="{00000000-0005-0000-0000-0000B6000000}"/>
    <cellStyle name="好_Sheet5" xfId="135" xr:uid="{00000000-0005-0000-0000-0000B7000000}"/>
    <cellStyle name="好_sub-material" xfId="136" xr:uid="{00000000-0005-0000-0000-0000B8000000}"/>
    <cellStyle name="好_sub-material_1" xfId="137" xr:uid="{00000000-0005-0000-0000-0000B9000000}"/>
    <cellStyle name="好_sub-material_1_装箱单" xfId="138" xr:uid="{00000000-0005-0000-0000-0000BA000000}"/>
    <cellStyle name="好_VIN-01" xfId="139" xr:uid="{00000000-0005-0000-0000-0000BB000000}"/>
    <cellStyle name="好_公仔图" xfId="145" xr:uid="{00000000-0005-0000-0000-0000C1000000}"/>
    <cellStyle name="好_公仔图_1" xfId="146" xr:uid="{00000000-0005-0000-0000-0000C2000000}"/>
    <cellStyle name="好_公仔图_1_装箱单" xfId="147" xr:uid="{00000000-0005-0000-0000-0000C3000000}"/>
    <cellStyle name="好_包装部尾箱" xfId="140" xr:uid="{00000000-0005-0000-0000-0000BC000000}"/>
    <cellStyle name="好_排色表" xfId="148" xr:uid="{00000000-0005-0000-0000-0000C4000000}"/>
    <cellStyle name="好_排色表_1" xfId="149" xr:uid="{00000000-0005-0000-0000-0000C5000000}"/>
    <cellStyle name="好_排色表_装箱单" xfId="150" xr:uid="{00000000-0005-0000-0000-0000C6000000}"/>
    <cellStyle name="好_染色" xfId="155" xr:uid="{00000000-0005-0000-0000-0000CB000000}"/>
    <cellStyle name="好_纸箱订购表" xfId="157" xr:uid="{00000000-0005-0000-0000-0000CD000000}"/>
    <cellStyle name="好_细比" xfId="156" xr:uid="{00000000-0005-0000-0000-0000CC000000}"/>
    <cellStyle name="好_装箱单" xfId="158" xr:uid="{00000000-0005-0000-0000-0000CE000000}"/>
    <cellStyle name="好_装箱单_1" xfId="159" xr:uid="{00000000-0005-0000-0000-0000CF000000}"/>
    <cellStyle name="好_辅料" xfId="141" xr:uid="{00000000-0005-0000-0000-0000BD000000}"/>
    <cellStyle name="好_辅料_装箱单" xfId="142" xr:uid="{00000000-0005-0000-0000-0000BE000000}"/>
    <cellStyle name="好_辅料订购" xfId="143" xr:uid="{00000000-0005-0000-0000-0000BF000000}"/>
    <cellStyle name="好_辅料订购_装箱单" xfId="144" xr:uid="{00000000-0005-0000-0000-0000C0000000}"/>
    <cellStyle name="好_配比" xfId="151" xr:uid="{00000000-0005-0000-0000-0000C7000000}"/>
    <cellStyle name="好_配比_装箱单" xfId="152" xr:uid="{00000000-0005-0000-0000-0000C8000000}"/>
    <cellStyle name="好_配比及预毛" xfId="153" xr:uid="{00000000-0005-0000-0000-0000C9000000}"/>
    <cellStyle name="好_配比及预毛_装箱单" xfId="154" xr:uid="{00000000-0005-0000-0000-0000CA000000}"/>
    <cellStyle name="差_A组箱唛" xfId="49" xr:uid="{00000000-0005-0000-0000-000061000000}"/>
    <cellStyle name="差_B组箱唛" xfId="50" xr:uid="{00000000-0005-0000-0000-000062000000}"/>
    <cellStyle name="差_C组箱唛 " xfId="51" xr:uid="{00000000-0005-0000-0000-000063000000}"/>
    <cellStyle name="差_Hoja1" xfId="52" xr:uid="{00000000-0005-0000-0000-000064000000}"/>
    <cellStyle name="差_Hoja2" xfId="53" xr:uid="{00000000-0005-0000-0000-000065000000}"/>
    <cellStyle name="差_pack A" xfId="54" xr:uid="{00000000-0005-0000-0000-000066000000}"/>
    <cellStyle name="差_pack A_1" xfId="55" xr:uid="{00000000-0005-0000-0000-000067000000}"/>
    <cellStyle name="差_pack A_1_装箱单" xfId="56" xr:uid="{00000000-0005-0000-0000-000068000000}"/>
    <cellStyle name="差_pack B" xfId="57" xr:uid="{00000000-0005-0000-0000-000069000000}"/>
    <cellStyle name="差_pack B_1" xfId="58" xr:uid="{00000000-0005-0000-0000-00006A000000}"/>
    <cellStyle name="差_pack B_1_装箱单" xfId="59" xr:uid="{00000000-0005-0000-0000-00006B000000}"/>
    <cellStyle name="差_pack C" xfId="60" xr:uid="{00000000-0005-0000-0000-00006C000000}"/>
    <cellStyle name="差_packing " xfId="61" xr:uid="{00000000-0005-0000-0000-00006D000000}"/>
    <cellStyle name="差_packing _装箱单" xfId="62" xr:uid="{00000000-0005-0000-0000-00006E000000}"/>
    <cellStyle name="差_packing list" xfId="63" xr:uid="{00000000-0005-0000-0000-00006F000000}"/>
    <cellStyle name="差_packing list_1" xfId="64" xr:uid="{00000000-0005-0000-0000-000070000000}"/>
    <cellStyle name="差_packing list_2" xfId="65" xr:uid="{00000000-0005-0000-0000-000071000000}"/>
    <cellStyle name="差_packing list_装箱单" xfId="66" xr:uid="{00000000-0005-0000-0000-000072000000}"/>
    <cellStyle name="差_PL" xfId="67" xr:uid="{00000000-0005-0000-0000-000073000000}"/>
    <cellStyle name="差_PL_1" xfId="68" xr:uid="{00000000-0005-0000-0000-000074000000}"/>
    <cellStyle name="差_SAMPLE" xfId="69" xr:uid="{00000000-0005-0000-0000-000075000000}"/>
    <cellStyle name="差_SAMPLE_装箱单" xfId="70" xr:uid="{00000000-0005-0000-0000-000076000000}"/>
    <cellStyle name="差_Sheet3" xfId="71" xr:uid="{00000000-0005-0000-0000-000077000000}"/>
    <cellStyle name="差_Sheet3_装箱单" xfId="72" xr:uid="{00000000-0005-0000-0000-000078000000}"/>
    <cellStyle name="差_Sheet5" xfId="73" xr:uid="{00000000-0005-0000-0000-000079000000}"/>
    <cellStyle name="差_sub-material" xfId="74" xr:uid="{00000000-0005-0000-0000-00007A000000}"/>
    <cellStyle name="差_sub-material_1" xfId="75" xr:uid="{00000000-0005-0000-0000-00007B000000}"/>
    <cellStyle name="差_sub-material_1_装箱单" xfId="76" xr:uid="{00000000-0005-0000-0000-00007C000000}"/>
    <cellStyle name="差_VIN-01" xfId="77" xr:uid="{00000000-0005-0000-0000-00007D000000}"/>
    <cellStyle name="差_公仔图" xfId="85" xr:uid="{00000000-0005-0000-0000-000085000000}"/>
    <cellStyle name="差_公仔图_1" xfId="86" xr:uid="{00000000-0005-0000-0000-000086000000}"/>
    <cellStyle name="差_公仔图_1_装箱单" xfId="87" xr:uid="{00000000-0005-0000-0000-000087000000}"/>
    <cellStyle name="差_包装部尾箱" xfId="78" xr:uid="{00000000-0005-0000-0000-00007E000000}"/>
    <cellStyle name="差_排色表" xfId="90" xr:uid="{00000000-0005-0000-0000-00008A000000}"/>
    <cellStyle name="差_排色表_1" xfId="91" xr:uid="{00000000-0005-0000-0000-00008B000000}"/>
    <cellStyle name="差_排色表_SAMPLE" xfId="92" xr:uid="{00000000-0005-0000-0000-00008C000000}"/>
    <cellStyle name="差_排色表_毛料预算" xfId="94" xr:uid="{00000000-0005-0000-0000-00008E000000}"/>
    <cellStyle name="差_排色表_装箱单" xfId="95" xr:uid="{00000000-0005-0000-0000-00008F000000}"/>
    <cellStyle name="差_排色表_订单明细" xfId="93" xr:uid="{00000000-0005-0000-0000-00008D000000}"/>
    <cellStyle name="差_染色" xfId="100" xr:uid="{00000000-0005-0000-0000-000094000000}"/>
    <cellStyle name="差_毛料预算" xfId="88" xr:uid="{00000000-0005-0000-0000-000088000000}"/>
    <cellStyle name="差_毛料预算_装箱单" xfId="89" xr:uid="{00000000-0005-0000-0000-000089000000}"/>
    <cellStyle name="差_生产单" xfId="101" xr:uid="{00000000-0005-0000-0000-000095000000}"/>
    <cellStyle name="差_纸箱订购表" xfId="103" xr:uid="{00000000-0005-0000-0000-000097000000}"/>
    <cellStyle name="差_细比" xfId="102" xr:uid="{00000000-0005-0000-0000-000096000000}"/>
    <cellStyle name="差_装箱单" xfId="104" xr:uid="{00000000-0005-0000-0000-000098000000}"/>
    <cellStyle name="差_装箱单_1" xfId="105" xr:uid="{00000000-0005-0000-0000-000099000000}"/>
    <cellStyle name="差_订单明细" xfId="79" xr:uid="{00000000-0005-0000-0000-00007F000000}"/>
    <cellStyle name="差_订单明细_装箱单" xfId="80" xr:uid="{00000000-0005-0000-0000-000080000000}"/>
    <cellStyle name="差_辅料" xfId="81" xr:uid="{00000000-0005-0000-0000-000081000000}"/>
    <cellStyle name="差_辅料_装箱单" xfId="82" xr:uid="{00000000-0005-0000-0000-000082000000}"/>
    <cellStyle name="差_辅料订购" xfId="83" xr:uid="{00000000-0005-0000-0000-000083000000}"/>
    <cellStyle name="差_辅料订购_装箱单" xfId="84" xr:uid="{00000000-0005-0000-0000-000084000000}"/>
    <cellStyle name="差_配比" xfId="96" xr:uid="{00000000-0005-0000-0000-000090000000}"/>
    <cellStyle name="差_配比_装箱单" xfId="97" xr:uid="{00000000-0005-0000-0000-000091000000}"/>
    <cellStyle name="差_配比及预毛" xfId="98" xr:uid="{00000000-0005-0000-0000-000092000000}"/>
    <cellStyle name="差_配比及预毛_装箱单" xfId="99" xr:uid="{00000000-0005-0000-0000-000093000000}"/>
    <cellStyle name="常规 2" xfId="106" xr:uid="{00000000-0005-0000-0000-00009A000000}"/>
    <cellStyle name="常规 2 2 2 2 2" xfId="107" xr:uid="{00000000-0005-0000-0000-00009B000000}"/>
    <cellStyle name="常规 3" xfId="108" xr:uid="{00000000-0005-0000-0000-00009C000000}"/>
    <cellStyle name="常规 4" xfId="109" xr:uid="{00000000-0005-0000-0000-00009D000000}"/>
    <cellStyle name="常规 5" xfId="110" xr:uid="{00000000-0005-0000-0000-00009E000000}"/>
    <cellStyle name="常规 6" xfId="111" xr:uid="{00000000-0005-0000-0000-00009F000000}"/>
    <cellStyle name="常规 6 2" xfId="112" xr:uid="{00000000-0005-0000-0000-0000A0000000}"/>
    <cellStyle name="常规_packing " xfId="113" xr:uid="{00000000-0005-0000-0000-0000A1000000}"/>
    <cellStyle name="常规_packing _装箱单" xfId="114" xr:uid="{00000000-0005-0000-0000-0000A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zoomScale="72" zoomScaleNormal="72" workbookViewId="0">
      <selection activeCell="I17" sqref="I17:I19"/>
    </sheetView>
  </sheetViews>
  <sheetFormatPr baseColWidth="10" defaultColWidth="9" defaultRowHeight="14.6"/>
  <cols>
    <col min="1" max="1" width="21.53515625" customWidth="1"/>
    <col min="2" max="2" width="12.53515625" customWidth="1"/>
    <col min="3" max="3" width="14.07421875" customWidth="1"/>
    <col min="4" max="4" width="20.07421875" customWidth="1"/>
    <col min="5" max="5" width="14.07421875" customWidth="1"/>
    <col min="6" max="6" width="10.4609375" customWidth="1"/>
    <col min="9" max="9" width="9.53515625" customWidth="1"/>
    <col min="17" max="17" width="11.23046875" customWidth="1"/>
    <col min="18" max="18" width="16.4609375" customWidth="1"/>
    <col min="19" max="19" width="9.3046875" style="95" customWidth="1"/>
    <col min="20" max="20" width="14.69140625" style="95" customWidth="1"/>
    <col min="21" max="21" width="11.07421875" style="95" customWidth="1"/>
  </cols>
  <sheetData>
    <row r="1" spans="1:21" s="94" customFormat="1" ht="37.4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97"/>
      <c r="T1" s="97"/>
      <c r="U1" s="97"/>
    </row>
    <row r="2" spans="1:21" s="94" customFormat="1" ht="12.6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  <c r="T2" s="97"/>
      <c r="U2" s="97"/>
    </row>
    <row r="3" spans="1:21" s="94" customFormat="1" ht="20.149999999999999">
      <c r="A3" s="98"/>
      <c r="B3" s="98"/>
      <c r="C3" s="98"/>
      <c r="D3" s="98"/>
      <c r="E3" s="98"/>
      <c r="F3" s="98"/>
      <c r="G3" s="98"/>
      <c r="H3" s="99"/>
      <c r="I3" s="98"/>
      <c r="J3" s="98"/>
      <c r="K3" s="100"/>
      <c r="L3" s="100"/>
      <c r="M3" s="100"/>
      <c r="N3" s="6" t="s">
        <v>1</v>
      </c>
      <c r="O3" s="6"/>
      <c r="P3" s="5">
        <v>46244</v>
      </c>
      <c r="Q3" s="5"/>
      <c r="R3" s="5"/>
      <c r="S3" s="97"/>
      <c r="T3" s="97"/>
      <c r="U3" s="97"/>
    </row>
    <row r="4" spans="1:21" s="94" customFormat="1" ht="12.65" customHeight="1">
      <c r="A4" s="98"/>
      <c r="B4" s="98"/>
      <c r="C4" s="98"/>
      <c r="D4" s="98"/>
      <c r="E4" s="98"/>
      <c r="F4" s="98"/>
      <c r="G4" s="98"/>
      <c r="H4" s="99"/>
      <c r="I4" s="98"/>
      <c r="J4" s="98"/>
      <c r="K4" s="100"/>
      <c r="L4" s="100"/>
      <c r="M4" s="100"/>
      <c r="N4" s="102"/>
      <c r="O4" s="102"/>
      <c r="P4" s="101"/>
      <c r="Q4" s="103"/>
      <c r="R4" s="101"/>
      <c r="S4" s="97"/>
      <c r="T4" s="97"/>
      <c r="U4" s="97"/>
    </row>
    <row r="5" spans="1:21" s="94" customFormat="1" ht="25.2" customHeight="1">
      <c r="A5" s="63" t="s">
        <v>2</v>
      </c>
      <c r="B5" s="63" t="s">
        <v>3</v>
      </c>
      <c r="C5" s="104" t="s">
        <v>4</v>
      </c>
      <c r="D5" s="63" t="s">
        <v>5</v>
      </c>
      <c r="E5" s="105" t="s">
        <v>6</v>
      </c>
      <c r="F5" s="106" t="s">
        <v>7</v>
      </c>
      <c r="G5" s="107" t="s">
        <v>8</v>
      </c>
      <c r="H5" s="107" t="s">
        <v>9</v>
      </c>
      <c r="I5" s="63" t="s">
        <v>10</v>
      </c>
      <c r="J5" s="55" t="s">
        <v>11</v>
      </c>
      <c r="K5" s="55" t="s">
        <v>12</v>
      </c>
      <c r="L5" s="55" t="s">
        <v>13</v>
      </c>
      <c r="M5" s="55" t="s">
        <v>14</v>
      </c>
      <c r="N5" s="3" t="s">
        <v>15</v>
      </c>
      <c r="O5" s="3"/>
      <c r="P5" s="3"/>
      <c r="Q5" s="108" t="s">
        <v>16</v>
      </c>
      <c r="R5" s="63" t="s">
        <v>17</v>
      </c>
      <c r="S5" s="109" t="s">
        <v>18</v>
      </c>
      <c r="T5" s="109" t="s">
        <v>19</v>
      </c>
      <c r="U5" s="97"/>
    </row>
    <row r="6" spans="1:21" s="94" customFormat="1" ht="33.65" customHeight="1">
      <c r="A6" s="55" t="s">
        <v>20</v>
      </c>
      <c r="B6" s="55" t="s">
        <v>21</v>
      </c>
      <c r="C6" s="110" t="s">
        <v>22</v>
      </c>
      <c r="D6" s="63" t="s">
        <v>23</v>
      </c>
      <c r="E6" s="63"/>
      <c r="F6" s="106" t="s">
        <v>24</v>
      </c>
      <c r="G6" s="111" t="s">
        <v>25</v>
      </c>
      <c r="H6" s="111" t="s">
        <v>26</v>
      </c>
      <c r="I6" s="63" t="s">
        <v>27</v>
      </c>
      <c r="J6" s="63" t="s">
        <v>28</v>
      </c>
      <c r="K6" s="63" t="s">
        <v>28</v>
      </c>
      <c r="L6" s="63" t="s">
        <v>28</v>
      </c>
      <c r="M6" s="63" t="s">
        <v>28</v>
      </c>
      <c r="N6" s="4" t="s">
        <v>29</v>
      </c>
      <c r="O6" s="4"/>
      <c r="P6" s="2"/>
      <c r="Q6" s="112" t="s">
        <v>30</v>
      </c>
      <c r="R6" s="113"/>
      <c r="S6" s="93"/>
      <c r="T6" s="93"/>
      <c r="U6" s="114"/>
    </row>
    <row r="7" spans="1:21" s="94" customFormat="1" ht="37.950000000000003" customHeight="1">
      <c r="A7" s="1" t="s">
        <v>31</v>
      </c>
      <c r="B7" s="1" t="s">
        <v>32</v>
      </c>
      <c r="C7" s="115" t="s">
        <v>33</v>
      </c>
      <c r="D7" s="8" t="s">
        <v>34</v>
      </c>
      <c r="E7" s="117" t="s">
        <v>35</v>
      </c>
      <c r="F7" s="118" t="s">
        <v>36</v>
      </c>
      <c r="G7" s="53">
        <v>45</v>
      </c>
      <c r="H7" s="53">
        <v>28</v>
      </c>
      <c r="I7" s="63">
        <f t="shared" ref="I7" si="0">G7*H7</f>
        <v>1260</v>
      </c>
      <c r="J7" s="53">
        <v>22</v>
      </c>
      <c r="K7" s="53">
        <f>J7-1.5</f>
        <v>20.5</v>
      </c>
      <c r="L7" s="63">
        <f t="shared" ref="L7" si="1">G7*J7</f>
        <v>990</v>
      </c>
      <c r="M7" s="63">
        <f t="shared" ref="M7" si="2">G7*K7</f>
        <v>922.5</v>
      </c>
      <c r="N7" s="55">
        <v>56</v>
      </c>
      <c r="O7" s="55">
        <v>36</v>
      </c>
      <c r="P7" s="55">
        <v>62</v>
      </c>
      <c r="Q7" s="119">
        <f t="shared" ref="Q7:Q19" si="3">P7*O7*N7*G7/1000000</f>
        <v>5.6246400000000003</v>
      </c>
      <c r="R7" s="120" t="s">
        <v>37</v>
      </c>
      <c r="S7" s="121">
        <v>6.8</v>
      </c>
      <c r="T7" s="121">
        <f>S7*I7</f>
        <v>8568</v>
      </c>
      <c r="U7" s="122"/>
    </row>
    <row r="8" spans="1:21" s="94" customFormat="1" ht="37.950000000000003" customHeight="1">
      <c r="A8" s="15"/>
      <c r="B8" s="15"/>
      <c r="C8" s="115" t="s">
        <v>33</v>
      </c>
      <c r="D8" s="36"/>
      <c r="E8" s="117" t="s">
        <v>35</v>
      </c>
      <c r="F8" s="118" t="s">
        <v>38</v>
      </c>
      <c r="G8" s="53">
        <v>1</v>
      </c>
      <c r="H8" s="53">
        <v>34</v>
      </c>
      <c r="I8" s="63">
        <f t="shared" ref="I8" si="4">G8*H8</f>
        <v>34</v>
      </c>
      <c r="J8" s="53">
        <v>22</v>
      </c>
      <c r="K8" s="53">
        <f>J8-1.5</f>
        <v>20.5</v>
      </c>
      <c r="L8" s="63">
        <f t="shared" ref="L8" si="5">G8*J8</f>
        <v>22</v>
      </c>
      <c r="M8" s="63">
        <f t="shared" ref="M8" si="6">G8*K8</f>
        <v>20.5</v>
      </c>
      <c r="N8" s="55">
        <v>56</v>
      </c>
      <c r="O8" s="55">
        <v>36</v>
      </c>
      <c r="P8" s="55">
        <v>62</v>
      </c>
      <c r="Q8" s="119">
        <f t="shared" ref="Q8" si="7">P8*O8*N8*G8/1000000</f>
        <v>0.12499200000000001</v>
      </c>
      <c r="R8" s="120" t="s">
        <v>37</v>
      </c>
      <c r="S8" s="121">
        <v>6.8</v>
      </c>
      <c r="T8" s="121">
        <f>S8*I8</f>
        <v>231.2</v>
      </c>
      <c r="U8" s="122"/>
    </row>
    <row r="9" spans="1:21" s="94" customFormat="1" ht="37.950000000000003" customHeight="1">
      <c r="A9" s="15"/>
      <c r="B9" s="15"/>
      <c r="C9" s="115" t="s">
        <v>39</v>
      </c>
      <c r="D9" s="8" t="s">
        <v>40</v>
      </c>
      <c r="E9" s="117" t="s">
        <v>41</v>
      </c>
      <c r="F9" s="118" t="s">
        <v>42</v>
      </c>
      <c r="G9" s="53">
        <v>32</v>
      </c>
      <c r="H9" s="53">
        <v>38</v>
      </c>
      <c r="I9" s="63">
        <f t="shared" ref="I9" si="8">G9*H9</f>
        <v>1216</v>
      </c>
      <c r="J9" s="53">
        <v>29.7</v>
      </c>
      <c r="K9" s="53">
        <f t="shared" ref="K9:K19" si="9">J9-2</f>
        <v>27.7</v>
      </c>
      <c r="L9" s="63">
        <f t="shared" ref="L9" si="10">G9*J9</f>
        <v>950.4</v>
      </c>
      <c r="M9" s="63">
        <f t="shared" ref="M9" si="11">G9*K9</f>
        <v>886.4</v>
      </c>
      <c r="N9" s="55">
        <v>61</v>
      </c>
      <c r="O9" s="55">
        <v>50</v>
      </c>
      <c r="P9" s="55">
        <v>82</v>
      </c>
      <c r="Q9" s="119">
        <f t="shared" si="3"/>
        <v>8.0031999999999996</v>
      </c>
      <c r="R9" s="120" t="s">
        <v>43</v>
      </c>
      <c r="S9" s="121">
        <v>6.9</v>
      </c>
      <c r="T9" s="121">
        <f t="shared" ref="T9:T19" si="12">S9*I9</f>
        <v>8390.4</v>
      </c>
      <c r="U9" s="123"/>
    </row>
    <row r="10" spans="1:21" s="94" customFormat="1" ht="37.950000000000003" customHeight="1">
      <c r="A10" s="15"/>
      <c r="B10" s="15"/>
      <c r="C10" s="115" t="s">
        <v>39</v>
      </c>
      <c r="D10" s="36"/>
      <c r="E10" s="117" t="s">
        <v>41</v>
      </c>
      <c r="F10" s="118" t="s">
        <v>44</v>
      </c>
      <c r="G10" s="53">
        <v>6</v>
      </c>
      <c r="H10" s="53">
        <v>38</v>
      </c>
      <c r="I10" s="63">
        <f t="shared" ref="I10" si="13">G10*H10</f>
        <v>228</v>
      </c>
      <c r="J10" s="53">
        <v>29.7</v>
      </c>
      <c r="K10" s="53">
        <f t="shared" ref="K10" si="14">J10-2</f>
        <v>27.7</v>
      </c>
      <c r="L10" s="63">
        <f t="shared" ref="L10" si="15">G10*J10</f>
        <v>178.2</v>
      </c>
      <c r="M10" s="63">
        <f t="shared" ref="M10" si="16">G10*K10</f>
        <v>166.2</v>
      </c>
      <c r="N10" s="55">
        <v>61</v>
      </c>
      <c r="O10" s="55">
        <v>50</v>
      </c>
      <c r="P10" s="55">
        <v>82</v>
      </c>
      <c r="Q10" s="119">
        <f t="shared" ref="Q10" si="17">P10*O10*N10*G10/1000000</f>
        <v>1.5005999999999999</v>
      </c>
      <c r="R10" s="120" t="s">
        <v>43</v>
      </c>
      <c r="S10" s="121">
        <v>6.9</v>
      </c>
      <c r="T10" s="121">
        <f t="shared" ref="T10" si="18">S10*I10</f>
        <v>1573.2</v>
      </c>
      <c r="U10" s="123"/>
    </row>
    <row r="11" spans="1:21" s="94" customFormat="1" ht="37.950000000000003" customHeight="1">
      <c r="A11" s="15"/>
      <c r="B11" s="15"/>
      <c r="C11" s="115" t="s">
        <v>39</v>
      </c>
      <c r="D11" s="8" t="s">
        <v>45</v>
      </c>
      <c r="E11" s="117" t="s">
        <v>41</v>
      </c>
      <c r="F11" s="118" t="s">
        <v>46</v>
      </c>
      <c r="G11" s="53">
        <v>33</v>
      </c>
      <c r="H11" s="53">
        <v>38</v>
      </c>
      <c r="I11" s="63">
        <f t="shared" ref="I11:I17" si="19">G11*H11</f>
        <v>1254</v>
      </c>
      <c r="J11" s="53">
        <v>29.7</v>
      </c>
      <c r="K11" s="53">
        <f t="shared" si="9"/>
        <v>27.7</v>
      </c>
      <c r="L11" s="63">
        <f t="shared" ref="L11:L17" si="20">G11*J11</f>
        <v>980.1</v>
      </c>
      <c r="M11" s="63">
        <f t="shared" ref="M11:M17" si="21">G11*K11</f>
        <v>914.1</v>
      </c>
      <c r="N11" s="55">
        <v>61</v>
      </c>
      <c r="O11" s="55">
        <v>50</v>
      </c>
      <c r="P11" s="55">
        <v>82</v>
      </c>
      <c r="Q11" s="119">
        <f t="shared" ref="Q11" si="22">P11*O11*N11*G11/1000000</f>
        <v>8.2532999999999994</v>
      </c>
      <c r="R11" s="120" t="s">
        <v>43</v>
      </c>
      <c r="S11" s="121">
        <v>6.9</v>
      </c>
      <c r="T11" s="121">
        <f t="shared" si="12"/>
        <v>8652.6</v>
      </c>
      <c r="U11" s="123"/>
    </row>
    <row r="12" spans="1:21" s="94" customFormat="1" ht="37.950000000000003" customHeight="1">
      <c r="A12" s="15"/>
      <c r="B12" s="15"/>
      <c r="C12" s="115" t="s">
        <v>39</v>
      </c>
      <c r="D12" s="32"/>
      <c r="E12" s="117" t="s">
        <v>41</v>
      </c>
      <c r="F12" s="118" t="s">
        <v>47</v>
      </c>
      <c r="G12" s="53">
        <v>4</v>
      </c>
      <c r="H12" s="53">
        <v>38</v>
      </c>
      <c r="I12" s="63">
        <f t="shared" ref="I12" si="23">G12*H12</f>
        <v>152</v>
      </c>
      <c r="J12" s="53">
        <v>29.7</v>
      </c>
      <c r="K12" s="53">
        <f t="shared" ref="K12" si="24">J12-2</f>
        <v>27.7</v>
      </c>
      <c r="L12" s="63">
        <f t="shared" ref="L12" si="25">G12*J12</f>
        <v>118.8</v>
      </c>
      <c r="M12" s="63">
        <f t="shared" ref="M12" si="26">G12*K12</f>
        <v>110.8</v>
      </c>
      <c r="N12" s="55">
        <v>61</v>
      </c>
      <c r="O12" s="55">
        <v>50</v>
      </c>
      <c r="P12" s="55">
        <v>82</v>
      </c>
      <c r="Q12" s="119">
        <f t="shared" ref="Q12" si="27">P12*O12*N12*G12/1000000</f>
        <v>1.0004</v>
      </c>
      <c r="R12" s="120" t="s">
        <v>43</v>
      </c>
      <c r="S12" s="121">
        <v>6.9</v>
      </c>
      <c r="T12" s="121">
        <f t="shared" ref="T12" si="28">S12*I12</f>
        <v>1048.8</v>
      </c>
      <c r="U12" s="123"/>
    </row>
    <row r="13" spans="1:21" s="94" customFormat="1" ht="37.950000000000003" customHeight="1">
      <c r="A13" s="15"/>
      <c r="B13" s="15"/>
      <c r="C13" s="115" t="s">
        <v>39</v>
      </c>
      <c r="D13" s="36"/>
      <c r="E13" s="117" t="s">
        <v>41</v>
      </c>
      <c r="F13" s="118" t="s">
        <v>48</v>
      </c>
      <c r="G13" s="53">
        <v>1</v>
      </c>
      <c r="H13" s="53">
        <v>23</v>
      </c>
      <c r="I13" s="63">
        <f t="shared" ref="I13" si="29">G13*H13</f>
        <v>23</v>
      </c>
      <c r="J13" s="53">
        <v>29.7</v>
      </c>
      <c r="K13" s="53">
        <f t="shared" ref="K13" si="30">J13-2</f>
        <v>27.7</v>
      </c>
      <c r="L13" s="63">
        <f t="shared" ref="L13" si="31">G13*J13</f>
        <v>29.7</v>
      </c>
      <c r="M13" s="63">
        <f t="shared" ref="M13" si="32">G13*K13</f>
        <v>27.7</v>
      </c>
      <c r="N13" s="55">
        <v>61</v>
      </c>
      <c r="O13" s="55">
        <v>50</v>
      </c>
      <c r="P13" s="55">
        <v>82</v>
      </c>
      <c r="Q13" s="119">
        <f t="shared" ref="Q13" si="33">P13*O13*N13*G13/1000000</f>
        <v>0.25009999999999999</v>
      </c>
      <c r="R13" s="120" t="s">
        <v>43</v>
      </c>
      <c r="S13" s="121">
        <v>6.9</v>
      </c>
      <c r="T13" s="121">
        <f t="shared" ref="T13" si="34">S13*I13</f>
        <v>158.69999999999999</v>
      </c>
      <c r="U13" s="123"/>
    </row>
    <row r="14" spans="1:21" s="94" customFormat="1" ht="37.950000000000003" customHeight="1">
      <c r="A14" s="15"/>
      <c r="B14" s="15"/>
      <c r="C14" s="115" t="s">
        <v>39</v>
      </c>
      <c r="D14" s="8" t="s">
        <v>49</v>
      </c>
      <c r="E14" s="117" t="s">
        <v>41</v>
      </c>
      <c r="F14" s="118" t="s">
        <v>50</v>
      </c>
      <c r="G14" s="53">
        <v>27</v>
      </c>
      <c r="H14" s="53">
        <v>38</v>
      </c>
      <c r="I14" s="63">
        <f t="shared" ref="I14" si="35">G14*H14</f>
        <v>1026</v>
      </c>
      <c r="J14" s="53">
        <v>27</v>
      </c>
      <c r="K14" s="53">
        <f t="shared" si="9"/>
        <v>25</v>
      </c>
      <c r="L14" s="63">
        <f t="shared" ref="L14" si="36">G14*J14</f>
        <v>729</v>
      </c>
      <c r="M14" s="63">
        <f t="shared" ref="M14" si="37">G14*K14</f>
        <v>675</v>
      </c>
      <c r="N14" s="55">
        <v>65</v>
      </c>
      <c r="O14" s="55">
        <v>54</v>
      </c>
      <c r="P14" s="55">
        <v>68</v>
      </c>
      <c r="Q14" s="119">
        <f t="shared" si="3"/>
        <v>6.4443599999999996</v>
      </c>
      <c r="R14" s="120" t="s">
        <v>43</v>
      </c>
      <c r="S14" s="121">
        <v>6.5</v>
      </c>
      <c r="T14" s="121">
        <f t="shared" si="12"/>
        <v>6669</v>
      </c>
      <c r="U14" s="122"/>
    </row>
    <row r="15" spans="1:21" s="94" customFormat="1" ht="37.950000000000003" customHeight="1">
      <c r="A15" s="15"/>
      <c r="B15" s="15"/>
      <c r="C15" s="115" t="s">
        <v>39</v>
      </c>
      <c r="D15" s="36"/>
      <c r="E15" s="117" t="s">
        <v>41</v>
      </c>
      <c r="F15" s="118" t="s">
        <v>51</v>
      </c>
      <c r="G15" s="53">
        <v>1</v>
      </c>
      <c r="H15" s="53">
        <v>35</v>
      </c>
      <c r="I15" s="63">
        <f t="shared" ref="I15" si="38">G15*H15</f>
        <v>35</v>
      </c>
      <c r="J15" s="53">
        <v>27</v>
      </c>
      <c r="K15" s="53">
        <f t="shared" ref="K15" si="39">J15-2</f>
        <v>25</v>
      </c>
      <c r="L15" s="63">
        <f t="shared" ref="L15" si="40">G15*J15</f>
        <v>27</v>
      </c>
      <c r="M15" s="63">
        <f t="shared" ref="M15" si="41">G15*K15</f>
        <v>25</v>
      </c>
      <c r="N15" s="55">
        <v>65</v>
      </c>
      <c r="O15" s="55">
        <v>54</v>
      </c>
      <c r="P15" s="55">
        <v>68</v>
      </c>
      <c r="Q15" s="119">
        <f t="shared" ref="Q15" si="42">P15*O15*N15*G15/1000000</f>
        <v>0.23868</v>
      </c>
      <c r="R15" s="120" t="s">
        <v>43</v>
      </c>
      <c r="S15" s="121">
        <v>6.5</v>
      </c>
      <c r="T15" s="121">
        <f t="shared" ref="T15" si="43">S15*I15</f>
        <v>227.5</v>
      </c>
      <c r="U15" s="122"/>
    </row>
    <row r="16" spans="1:21" s="94" customFormat="1" ht="37.950000000000003" customHeight="1">
      <c r="A16" s="15"/>
      <c r="B16" s="15"/>
      <c r="C16" s="115" t="s">
        <v>39</v>
      </c>
      <c r="D16" s="116" t="s">
        <v>52</v>
      </c>
      <c r="E16" s="117" t="s">
        <v>41</v>
      </c>
      <c r="F16" s="118" t="s">
        <v>53</v>
      </c>
      <c r="G16" s="53">
        <v>28</v>
      </c>
      <c r="H16" s="53">
        <v>38</v>
      </c>
      <c r="I16" s="63">
        <f t="shared" si="19"/>
        <v>1064</v>
      </c>
      <c r="J16" s="53">
        <v>27</v>
      </c>
      <c r="K16" s="53">
        <f t="shared" si="9"/>
        <v>25</v>
      </c>
      <c r="L16" s="63">
        <f t="shared" si="20"/>
        <v>756</v>
      </c>
      <c r="M16" s="63">
        <f t="shared" si="21"/>
        <v>700</v>
      </c>
      <c r="N16" s="55">
        <v>65</v>
      </c>
      <c r="O16" s="55">
        <v>54</v>
      </c>
      <c r="P16" s="55">
        <v>68</v>
      </c>
      <c r="Q16" s="119">
        <f t="shared" ref="Q16:Q17" si="44">P16*O16*N16*G16/1000000</f>
        <v>6.6830400000000001</v>
      </c>
      <c r="R16" s="120" t="s">
        <v>43</v>
      </c>
      <c r="S16" s="121">
        <v>6.5</v>
      </c>
      <c r="T16" s="121">
        <f t="shared" si="12"/>
        <v>6916</v>
      </c>
      <c r="U16" s="122"/>
    </row>
    <row r="17" spans="1:21" s="94" customFormat="1" ht="37.950000000000003" customHeight="1">
      <c r="A17" s="15"/>
      <c r="B17" s="15"/>
      <c r="C17" s="115" t="s">
        <v>54</v>
      </c>
      <c r="D17" s="8" t="s">
        <v>55</v>
      </c>
      <c r="E17" s="117" t="s">
        <v>41</v>
      </c>
      <c r="F17" s="118" t="s">
        <v>56</v>
      </c>
      <c r="G17" s="53">
        <v>17</v>
      </c>
      <c r="H17" s="53">
        <v>35</v>
      </c>
      <c r="I17" s="63">
        <f t="shared" si="19"/>
        <v>595</v>
      </c>
      <c r="J17" s="53">
        <v>22.4</v>
      </c>
      <c r="K17" s="53">
        <f t="shared" si="9"/>
        <v>20.399999999999999</v>
      </c>
      <c r="L17" s="63">
        <f t="shared" si="20"/>
        <v>380.8</v>
      </c>
      <c r="M17" s="63">
        <f t="shared" si="21"/>
        <v>346.8</v>
      </c>
      <c r="N17" s="55">
        <v>58</v>
      </c>
      <c r="O17" s="55">
        <v>50</v>
      </c>
      <c r="P17" s="55">
        <v>80</v>
      </c>
      <c r="Q17" s="119">
        <f t="shared" si="44"/>
        <v>3.944</v>
      </c>
      <c r="R17" s="120" t="s">
        <v>57</v>
      </c>
      <c r="S17" s="121">
        <v>6.4</v>
      </c>
      <c r="T17" s="121">
        <f t="shared" ref="T17" si="45">S17*I17</f>
        <v>3808</v>
      </c>
      <c r="U17" s="122"/>
    </row>
    <row r="18" spans="1:21" s="94" customFormat="1" ht="37.950000000000003" customHeight="1">
      <c r="A18" s="15"/>
      <c r="B18" s="15"/>
      <c r="C18" s="115" t="s">
        <v>54</v>
      </c>
      <c r="D18" s="36"/>
      <c r="E18" s="117" t="s">
        <v>41</v>
      </c>
      <c r="F18" s="118" t="s">
        <v>58</v>
      </c>
      <c r="G18" s="53">
        <v>1</v>
      </c>
      <c r="H18" s="53">
        <v>31</v>
      </c>
      <c r="I18" s="63">
        <f t="shared" ref="I18" si="46">G18*H18</f>
        <v>31</v>
      </c>
      <c r="J18" s="53">
        <v>22.4</v>
      </c>
      <c r="K18" s="53">
        <f t="shared" ref="K18" si="47">J18-2</f>
        <v>20.399999999999999</v>
      </c>
      <c r="L18" s="63">
        <f t="shared" ref="L18" si="48">G18*J18</f>
        <v>22.4</v>
      </c>
      <c r="M18" s="63">
        <f t="shared" ref="M18" si="49">G18*K18</f>
        <v>20.399999999999999</v>
      </c>
      <c r="N18" s="55">
        <v>58</v>
      </c>
      <c r="O18" s="55">
        <v>50</v>
      </c>
      <c r="P18" s="55">
        <v>80</v>
      </c>
      <c r="Q18" s="119">
        <f t="shared" ref="Q18" si="50">P18*O18*N18*G18/1000000</f>
        <v>0.23200000000000001</v>
      </c>
      <c r="R18" s="120" t="s">
        <v>57</v>
      </c>
      <c r="S18" s="121">
        <v>6.4</v>
      </c>
      <c r="T18" s="121">
        <f t="shared" ref="T18" si="51">S18*I18</f>
        <v>198.4</v>
      </c>
      <c r="U18" s="122"/>
    </row>
    <row r="19" spans="1:21" s="94" customFormat="1" ht="37.950000000000003" customHeight="1">
      <c r="A19" s="15"/>
      <c r="B19" s="14"/>
      <c r="C19" s="115" t="s">
        <v>54</v>
      </c>
      <c r="D19" s="116" t="s">
        <v>59</v>
      </c>
      <c r="E19" s="117" t="s">
        <v>41</v>
      </c>
      <c r="F19" s="118" t="s">
        <v>60</v>
      </c>
      <c r="G19" s="53">
        <v>18</v>
      </c>
      <c r="H19" s="53">
        <v>35</v>
      </c>
      <c r="I19" s="63">
        <f t="shared" ref="I19" si="52">G19*H19</f>
        <v>630</v>
      </c>
      <c r="J19" s="53">
        <v>22.4</v>
      </c>
      <c r="K19" s="53">
        <f t="shared" si="9"/>
        <v>20.399999999999999</v>
      </c>
      <c r="L19" s="63">
        <f t="shared" ref="L19" si="53">G19*J19</f>
        <v>403.2</v>
      </c>
      <c r="M19" s="63">
        <f t="shared" ref="M19" si="54">G19*K19</f>
        <v>367.2</v>
      </c>
      <c r="N19" s="55">
        <v>58</v>
      </c>
      <c r="O19" s="55">
        <v>50</v>
      </c>
      <c r="P19" s="55">
        <v>80</v>
      </c>
      <c r="Q19" s="119">
        <f t="shared" si="3"/>
        <v>4.1760000000000002</v>
      </c>
      <c r="R19" s="120" t="s">
        <v>57</v>
      </c>
      <c r="S19" s="121">
        <v>6.4</v>
      </c>
      <c r="T19" s="121">
        <f t="shared" si="12"/>
        <v>4032</v>
      </c>
      <c r="U19" s="122"/>
    </row>
    <row r="20" spans="1:21" s="94" customFormat="1" ht="37.950000000000003" customHeight="1">
      <c r="A20" s="9" t="s">
        <v>61</v>
      </c>
      <c r="B20" s="9"/>
      <c r="C20" s="9"/>
      <c r="D20" s="9"/>
      <c r="E20" s="9"/>
      <c r="F20" s="9"/>
      <c r="G20" s="124">
        <f>SUM(G7:G19)</f>
        <v>214</v>
      </c>
      <c r="H20" s="124"/>
      <c r="I20" s="124">
        <f>SUM(I7:I19)</f>
        <v>7548</v>
      </c>
      <c r="J20" s="124"/>
      <c r="K20" s="124"/>
      <c r="L20" s="124">
        <f>SUM(L7:L19)</f>
        <v>5587.6</v>
      </c>
      <c r="M20" s="124">
        <f>SUM(M7:M19)</f>
        <v>5182.6000000000004</v>
      </c>
      <c r="N20" s="124"/>
      <c r="O20" s="124"/>
      <c r="P20" s="124"/>
      <c r="Q20" s="125">
        <f>SUM(Q7:Q19)</f>
        <v>46.475312000000002</v>
      </c>
      <c r="R20" s="124"/>
      <c r="S20" s="121"/>
      <c r="T20" s="121">
        <f>SUM(T7:T19)</f>
        <v>50473.8</v>
      </c>
      <c r="U20" s="97"/>
    </row>
    <row r="21" spans="1:21" s="94" customFormat="1" ht="19.75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7"/>
      <c r="R21" s="128"/>
      <c r="S21" s="97"/>
      <c r="T21" s="97"/>
      <c r="U21" s="97"/>
    </row>
    <row r="22" spans="1:21" s="94" customFormat="1" ht="19.75">
      <c r="A22" s="126"/>
      <c r="B22" s="126"/>
      <c r="C22" s="126"/>
      <c r="D22" s="126"/>
      <c r="E22" s="126"/>
      <c r="F22" s="126"/>
      <c r="G22" s="128">
        <f>'JA26-01HSD'!K10++'JA25-01USD'!K42+'JA25-03USD'!K22+'JA25-05ISD'!K22</f>
        <v>214</v>
      </c>
      <c r="H22" s="128"/>
      <c r="I22" s="128">
        <f>'JA26-01HSD'!M10++'JA25-01USD'!M42+'JA25-03USD'!M22+'JA25-05ISD'!M22</f>
        <v>7548</v>
      </c>
      <c r="J22" s="128"/>
      <c r="K22" s="128"/>
      <c r="L22" s="128">
        <f>'JA26-01HSD'!P10++'JA25-01USD'!P42+'JA25-03USD'!P22+'JA25-05ISD'!P22</f>
        <v>5587.6</v>
      </c>
      <c r="M22" s="128">
        <f>'JA26-01HSD'!Q10++'JA25-01USD'!Q42+'JA25-03USD'!Q22+'JA25-05ISD'!Q22</f>
        <v>5182.6000000000004</v>
      </c>
      <c r="N22" s="128"/>
      <c r="O22" s="128"/>
      <c r="P22" s="128"/>
      <c r="Q22" s="129">
        <f>'JA26-01HSD'!U10++'JA25-01USD'!U42+'JA25-03USD'!U22+'JA25-05ISD'!U22</f>
        <v>46.475312000000002</v>
      </c>
      <c r="R22" s="128"/>
      <c r="S22" s="97"/>
      <c r="T22" s="97"/>
      <c r="U22" s="97"/>
    </row>
    <row r="23" spans="1:21" s="61" customFormat="1" ht="22.2" customHeight="1">
      <c r="A23" s="128"/>
      <c r="B23" s="128"/>
      <c r="C23" s="128"/>
      <c r="D23" s="130"/>
      <c r="E23" s="128"/>
      <c r="F23" s="131"/>
      <c r="G23" s="97"/>
      <c r="H23" s="128"/>
      <c r="I23" s="97"/>
      <c r="J23" s="128"/>
      <c r="K23" s="128"/>
      <c r="L23" s="97"/>
      <c r="M23" s="97"/>
      <c r="N23" s="128"/>
      <c r="O23" s="128"/>
      <c r="P23" s="128"/>
      <c r="Q23" s="132"/>
      <c r="R23" s="128"/>
      <c r="S23" s="110"/>
      <c r="T23" s="110"/>
      <c r="U23" s="110"/>
    </row>
    <row r="24" spans="1:21" ht="27.65" customHeight="1">
      <c r="A24" s="133"/>
      <c r="B24" s="133"/>
      <c r="C24" s="134"/>
      <c r="D24" s="135"/>
      <c r="E24" s="133"/>
      <c r="G24" s="133"/>
      <c r="H24" s="133"/>
      <c r="I24" s="133"/>
      <c r="J24" s="133"/>
      <c r="K24" s="133"/>
      <c r="L24" s="133"/>
      <c r="M24" s="133"/>
      <c r="N24" s="133"/>
      <c r="O24" s="133"/>
      <c r="Q24" s="132"/>
      <c r="R24" s="136"/>
    </row>
    <row r="25" spans="1:21" ht="27.65" customHeight="1">
      <c r="B25" s="131"/>
      <c r="C25" s="137"/>
      <c r="D25" s="138"/>
      <c r="J25" s="131"/>
      <c r="O25" s="131"/>
      <c r="Q25" s="132"/>
    </row>
    <row r="26" spans="1:21" ht="24.9" customHeight="1">
      <c r="C26" s="137"/>
      <c r="D26" s="139"/>
      <c r="E26" s="95"/>
    </row>
    <row r="27" spans="1:21" ht="24.9" customHeight="1">
      <c r="C27" s="140"/>
      <c r="D27" s="141"/>
      <c r="E27" s="95"/>
    </row>
  </sheetData>
  <mergeCells count="13">
    <mergeCell ref="A20:F20"/>
    <mergeCell ref="A7:A19"/>
    <mergeCell ref="B7:B19"/>
    <mergeCell ref="D7:D8"/>
    <mergeCell ref="D9:D10"/>
    <mergeCell ref="D11:D13"/>
    <mergeCell ref="D14:D15"/>
    <mergeCell ref="D17:D18"/>
    <mergeCell ref="A1:R1"/>
    <mergeCell ref="N3:O3"/>
    <mergeCell ref="P3:R3"/>
    <mergeCell ref="N5:P5"/>
    <mergeCell ref="N6:P6"/>
  </mergeCells>
  <pageMargins left="0.47244094488188998" right="0.27559055118110198" top="0.43307086614173201" bottom="0.15748031496063" header="0.31496062992126" footer="0.15748031496063"/>
  <pageSetup paperSize="9" scale="6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3"/>
  <sheetViews>
    <sheetView zoomScale="40" zoomScaleNormal="40" workbookViewId="0">
      <selection activeCell="K30" sqref="K30"/>
    </sheetView>
  </sheetViews>
  <sheetFormatPr baseColWidth="10" defaultColWidth="9" defaultRowHeight="14.6"/>
  <cols>
    <col min="1" max="1" width="18.765625" style="40" customWidth="1"/>
    <col min="2" max="2" width="13.07421875" style="40" customWidth="1"/>
    <col min="3" max="3" width="12" style="40" customWidth="1"/>
    <col min="4" max="4" width="18.07421875" style="40" customWidth="1"/>
    <col min="5" max="9" width="6.4609375" style="40" customWidth="1"/>
    <col min="10" max="17" width="9" style="40"/>
    <col min="18" max="18" width="9" style="40" customWidth="1"/>
    <col min="19" max="21" width="9" style="40"/>
    <col min="22" max="22" width="13.4609375" style="40" customWidth="1"/>
    <col min="23" max="23" width="11.23046875" style="40" customWidth="1"/>
    <col min="24" max="16384" width="9" style="40"/>
  </cols>
  <sheetData>
    <row r="1" spans="1:26" ht="28.85" customHeight="1">
      <c r="A1" s="41" t="s">
        <v>62</v>
      </c>
      <c r="B1" s="41" t="s">
        <v>63</v>
      </c>
      <c r="C1" s="41" t="s">
        <v>64</v>
      </c>
      <c r="D1" s="41" t="s">
        <v>65</v>
      </c>
      <c r="E1" s="28" t="s">
        <v>66</v>
      </c>
      <c r="F1" s="24"/>
      <c r="G1" s="24"/>
      <c r="H1" s="24"/>
      <c r="I1" s="42"/>
      <c r="J1" s="41" t="s">
        <v>67</v>
      </c>
      <c r="K1" s="41" t="s">
        <v>68</v>
      </c>
      <c r="L1" s="41" t="s">
        <v>69</v>
      </c>
      <c r="M1" s="41" t="s">
        <v>70</v>
      </c>
      <c r="N1" s="41" t="s">
        <v>71</v>
      </c>
      <c r="O1" s="41" t="s">
        <v>72</v>
      </c>
      <c r="P1" s="41" t="s">
        <v>73</v>
      </c>
      <c r="Q1" s="41" t="s">
        <v>74</v>
      </c>
      <c r="R1" s="28" t="s">
        <v>75</v>
      </c>
      <c r="S1" s="24"/>
      <c r="T1" s="20"/>
      <c r="U1" s="41" t="s">
        <v>76</v>
      </c>
      <c r="V1" s="145" t="s">
        <v>77</v>
      </c>
    </row>
    <row r="2" spans="1:26" ht="22.1" customHeight="1">
      <c r="A2" s="27" t="s">
        <v>78</v>
      </c>
      <c r="B2" s="23" t="s">
        <v>21</v>
      </c>
      <c r="C2" s="19" t="s">
        <v>79</v>
      </c>
      <c r="D2" s="23" t="s">
        <v>80</v>
      </c>
      <c r="E2" s="16" t="s">
        <v>81</v>
      </c>
      <c r="F2" s="16"/>
      <c r="G2" s="16"/>
      <c r="H2" s="16"/>
      <c r="I2" s="91"/>
      <c r="J2" s="33" t="s">
        <v>82</v>
      </c>
      <c r="K2" s="25" t="s">
        <v>83</v>
      </c>
      <c r="L2" s="17" t="s">
        <v>26</v>
      </c>
      <c r="M2" s="17" t="s">
        <v>25</v>
      </c>
      <c r="N2" s="23" t="s">
        <v>84</v>
      </c>
      <c r="O2" s="27" t="s">
        <v>85</v>
      </c>
      <c r="P2" s="17" t="s">
        <v>86</v>
      </c>
      <c r="Q2" s="17" t="s">
        <v>87</v>
      </c>
      <c r="R2" s="17" t="s">
        <v>88</v>
      </c>
      <c r="S2" s="17"/>
      <c r="T2" s="17"/>
      <c r="U2" s="143" t="s">
        <v>89</v>
      </c>
      <c r="V2" s="146"/>
    </row>
    <row r="3" spans="1:26" ht="22.1" customHeight="1">
      <c r="A3" s="23"/>
      <c r="B3" s="34"/>
      <c r="C3" s="38"/>
      <c r="D3" s="37"/>
      <c r="E3" s="52" t="s">
        <v>90</v>
      </c>
      <c r="F3" s="52" t="s">
        <v>91</v>
      </c>
      <c r="G3" s="52" t="s">
        <v>92</v>
      </c>
      <c r="H3" s="52" t="s">
        <v>93</v>
      </c>
      <c r="I3" s="52" t="s">
        <v>94</v>
      </c>
      <c r="J3" s="29"/>
      <c r="K3" s="21"/>
      <c r="L3" s="17"/>
      <c r="M3" s="17"/>
      <c r="N3" s="142"/>
      <c r="O3" s="27"/>
      <c r="P3" s="27"/>
      <c r="Q3" s="27"/>
      <c r="R3" s="17"/>
      <c r="S3" s="17"/>
      <c r="T3" s="17"/>
      <c r="U3" s="144"/>
      <c r="V3" s="146"/>
    </row>
    <row r="4" spans="1:26" ht="18.899999999999999" customHeight="1">
      <c r="A4" s="19" t="s">
        <v>34</v>
      </c>
      <c r="B4" s="30" t="s">
        <v>95</v>
      </c>
      <c r="C4" s="22"/>
      <c r="D4" s="92" t="s">
        <v>96</v>
      </c>
      <c r="E4" s="93">
        <v>2</v>
      </c>
      <c r="F4" s="93">
        <v>3</v>
      </c>
      <c r="G4" s="93">
        <v>3</v>
      </c>
      <c r="H4" s="93">
        <v>2</v>
      </c>
      <c r="I4" s="93">
        <v>2</v>
      </c>
      <c r="J4" s="46">
        <f>SUM(E4:I4)</f>
        <v>12</v>
      </c>
      <c r="K4" s="52">
        <v>45</v>
      </c>
      <c r="L4" s="45">
        <f>J4+J5+J6</f>
        <v>28</v>
      </c>
      <c r="M4" s="45">
        <f>L4*K4</f>
        <v>1260</v>
      </c>
      <c r="N4" s="53">
        <v>22</v>
      </c>
      <c r="O4" s="53">
        <f>N4-1.5</f>
        <v>20.5</v>
      </c>
      <c r="P4" s="54">
        <f>K4*N4</f>
        <v>990</v>
      </c>
      <c r="Q4" s="54">
        <f>K4*O4</f>
        <v>922.5</v>
      </c>
      <c r="R4" s="55">
        <v>56</v>
      </c>
      <c r="S4" s="55">
        <v>36</v>
      </c>
      <c r="T4" s="55">
        <v>62</v>
      </c>
      <c r="U4" s="56">
        <f>T4*S4*R4*K4/1000000</f>
        <v>5.6246400000000003</v>
      </c>
      <c r="V4" s="44"/>
    </row>
    <row r="5" spans="1:26" ht="18.899999999999999" customHeight="1">
      <c r="A5" s="38"/>
      <c r="B5" s="26"/>
      <c r="C5" s="18"/>
      <c r="D5" s="92" t="s">
        <v>97</v>
      </c>
      <c r="E5" s="93">
        <v>1</v>
      </c>
      <c r="F5" s="93">
        <v>2</v>
      </c>
      <c r="G5" s="93">
        <v>2</v>
      </c>
      <c r="H5" s="93">
        <v>2</v>
      </c>
      <c r="I5" s="93">
        <v>1</v>
      </c>
      <c r="J5" s="46">
        <f t="shared" ref="J5:J7" si="0">SUM(E5:I5)</f>
        <v>8</v>
      </c>
      <c r="K5" s="57"/>
      <c r="L5" s="58"/>
      <c r="M5" s="58"/>
      <c r="N5" s="58"/>
      <c r="O5" s="58"/>
      <c r="P5" s="58"/>
      <c r="Q5" s="58"/>
      <c r="R5" s="58"/>
      <c r="S5" s="58"/>
      <c r="T5" s="58"/>
      <c r="U5" s="58"/>
      <c r="V5" s="59"/>
    </row>
    <row r="6" spans="1:26" ht="18.899999999999999" customHeight="1">
      <c r="A6" s="38"/>
      <c r="B6" s="26"/>
      <c r="C6" s="18"/>
      <c r="D6" s="92" t="s">
        <v>98</v>
      </c>
      <c r="E6" s="93">
        <v>1</v>
      </c>
      <c r="F6" s="93">
        <v>2</v>
      </c>
      <c r="G6" s="93">
        <v>2</v>
      </c>
      <c r="H6" s="93">
        <v>2</v>
      </c>
      <c r="I6" s="93">
        <v>1</v>
      </c>
      <c r="J6" s="46">
        <f t="shared" si="0"/>
        <v>8</v>
      </c>
      <c r="K6" s="60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26" ht="18.899999999999999" customHeight="1">
      <c r="A7" s="38"/>
      <c r="B7" s="26"/>
      <c r="C7" s="18"/>
      <c r="D7" s="92" t="s">
        <v>96</v>
      </c>
      <c r="E7" s="93">
        <v>2</v>
      </c>
      <c r="F7" s="93">
        <v>4</v>
      </c>
      <c r="G7" s="93">
        <v>4</v>
      </c>
      <c r="H7" s="93">
        <v>1</v>
      </c>
      <c r="I7" s="93">
        <v>4</v>
      </c>
      <c r="J7" s="46">
        <f t="shared" si="0"/>
        <v>15</v>
      </c>
      <c r="K7" s="52">
        <v>1</v>
      </c>
      <c r="L7" s="45">
        <f>J7+J8+J9</f>
        <v>34</v>
      </c>
      <c r="M7" s="45">
        <f>L7*K7</f>
        <v>34</v>
      </c>
      <c r="N7" s="53">
        <v>22</v>
      </c>
      <c r="O7" s="53">
        <f>N7-1.5</f>
        <v>20.5</v>
      </c>
      <c r="P7" s="54">
        <f>K7*N7</f>
        <v>22</v>
      </c>
      <c r="Q7" s="54">
        <f>K7*O7</f>
        <v>20.5</v>
      </c>
      <c r="R7" s="55">
        <v>56</v>
      </c>
      <c r="S7" s="55">
        <v>36</v>
      </c>
      <c r="T7" s="55">
        <v>62</v>
      </c>
      <c r="U7" s="56">
        <f>T7*S7*R7*K7/1000000</f>
        <v>0.12499200000000001</v>
      </c>
      <c r="V7" s="44"/>
    </row>
    <row r="8" spans="1:26" ht="18.899999999999999" customHeight="1">
      <c r="A8" s="38"/>
      <c r="B8" s="26"/>
      <c r="C8" s="18"/>
      <c r="D8" s="92" t="s">
        <v>97</v>
      </c>
      <c r="E8" s="93"/>
      <c r="F8" s="93"/>
      <c r="G8" s="93">
        <v>2</v>
      </c>
      <c r="H8" s="93">
        <v>2</v>
      </c>
      <c r="I8" s="93"/>
      <c r="J8" s="46">
        <f t="shared" ref="J8:J9" si="1">SUM(E8:I8)</f>
        <v>4</v>
      </c>
      <c r="K8" s="57"/>
      <c r="L8" s="58"/>
      <c r="M8" s="58"/>
      <c r="N8" s="58"/>
      <c r="O8" s="58"/>
      <c r="P8" s="58"/>
      <c r="Q8" s="58"/>
      <c r="R8" s="58"/>
      <c r="S8" s="58"/>
      <c r="T8" s="58"/>
      <c r="U8" s="58"/>
      <c r="V8" s="59"/>
    </row>
    <row r="9" spans="1:26" ht="18.899999999999999" customHeight="1">
      <c r="A9" s="38"/>
      <c r="B9" s="26"/>
      <c r="C9" s="18"/>
      <c r="D9" s="92" t="s">
        <v>98</v>
      </c>
      <c r="E9" s="93"/>
      <c r="F9" s="93">
        <v>9</v>
      </c>
      <c r="G9" s="93">
        <v>4</v>
      </c>
      <c r="H9" s="93">
        <v>1</v>
      </c>
      <c r="I9" s="93">
        <v>1</v>
      </c>
      <c r="J9" s="46">
        <f t="shared" si="1"/>
        <v>15</v>
      </c>
      <c r="K9" s="60"/>
      <c r="L9" s="61"/>
      <c r="M9" s="61"/>
      <c r="N9" s="61"/>
      <c r="O9" s="61"/>
      <c r="P9" s="61"/>
      <c r="Q9" s="61"/>
      <c r="R9" s="61"/>
      <c r="S9" s="61"/>
      <c r="T9" s="61"/>
      <c r="U9" s="61"/>
      <c r="V9" s="62"/>
    </row>
    <row r="10" spans="1:26" ht="18.899999999999999" customHeight="1">
      <c r="A10" s="65" t="s">
        <v>99</v>
      </c>
      <c r="B10" s="66"/>
      <c r="C10" s="65"/>
      <c r="D10" s="67"/>
      <c r="E10" s="67"/>
      <c r="F10" s="67"/>
      <c r="G10" s="67"/>
      <c r="H10" s="66"/>
      <c r="I10" s="66"/>
      <c r="J10" s="68"/>
      <c r="K10" s="68">
        <f>SUM(K4:K9)</f>
        <v>46</v>
      </c>
      <c r="L10" s="68"/>
      <c r="M10" s="68">
        <f>SUM(M4:M9)</f>
        <v>1294</v>
      </c>
      <c r="N10" s="68"/>
      <c r="O10" s="68"/>
      <c r="P10" s="68">
        <f>SUM(P4:P9)</f>
        <v>1012</v>
      </c>
      <c r="Q10" s="68">
        <f>SUM(Q4:Q9)</f>
        <v>943</v>
      </c>
      <c r="R10" s="68"/>
      <c r="S10" s="69"/>
      <c r="T10" s="69"/>
      <c r="U10" s="70">
        <f>SUM(U4:U9)</f>
        <v>5.7496320000000001</v>
      </c>
      <c r="V10" s="68"/>
    </row>
    <row r="11" spans="1:26" ht="17.600000000000001" customHeight="1">
      <c r="A11" s="71"/>
      <c r="B11" s="7"/>
      <c r="C11" s="7"/>
      <c r="D11" s="7"/>
      <c r="E11" s="7"/>
      <c r="F11" s="12"/>
      <c r="G11" s="12"/>
      <c r="H11" s="72"/>
      <c r="I11" s="72"/>
      <c r="J11" s="11"/>
      <c r="K11" s="11"/>
      <c r="L11" s="11"/>
      <c r="M11" s="11"/>
      <c r="N11" s="11"/>
      <c r="O11" s="11"/>
      <c r="P11" s="11"/>
      <c r="Q11" s="11"/>
      <c r="R11" s="73"/>
      <c r="S11" s="10"/>
      <c r="T11" s="10"/>
      <c r="U11" s="73"/>
      <c r="V11" s="10"/>
      <c r="W11" s="10"/>
      <c r="X11" s="74"/>
      <c r="Y11" s="74"/>
      <c r="Z11" s="74"/>
    </row>
    <row r="12" spans="1:26" ht="18" customHeight="1">
      <c r="A12" s="71" t="s">
        <v>100</v>
      </c>
      <c r="B12" s="39" t="s">
        <v>101</v>
      </c>
      <c r="C12" s="39"/>
      <c r="D12" s="39" t="s">
        <v>102</v>
      </c>
      <c r="E12" s="39"/>
      <c r="F12" s="35" t="s">
        <v>103</v>
      </c>
      <c r="G12" s="35"/>
      <c r="H12" s="35"/>
      <c r="I12" s="75"/>
      <c r="J12" s="31" t="s">
        <v>104</v>
      </c>
      <c r="K12" s="31"/>
      <c r="L12" s="31"/>
      <c r="M12" s="31" t="s">
        <v>105</v>
      </c>
      <c r="N12" s="31"/>
      <c r="O12" s="31"/>
      <c r="P12" s="31" t="s">
        <v>106</v>
      </c>
      <c r="Q12" s="31"/>
      <c r="R12" s="31"/>
      <c r="S12" s="10" t="s">
        <v>107</v>
      </c>
      <c r="T12" s="10"/>
      <c r="U12" s="10"/>
      <c r="V12" s="10" t="s">
        <v>108</v>
      </c>
      <c r="W12" s="10"/>
      <c r="X12" s="74"/>
      <c r="Y12" s="74" t="s">
        <v>109</v>
      </c>
      <c r="Z12" s="74"/>
    </row>
    <row r="13" spans="1:26" ht="15">
      <c r="A13" s="76"/>
      <c r="B13" s="77"/>
      <c r="C13" s="77"/>
      <c r="D13"/>
      <c r="E13" s="77"/>
      <c r="F13" s="73"/>
      <c r="G13" s="73"/>
      <c r="H13" s="73"/>
      <c r="I13" s="73"/>
      <c r="J13" s="73"/>
      <c r="K13" s="78"/>
      <c r="L13" s="73"/>
      <c r="M13" s="73"/>
      <c r="N13" s="73"/>
      <c r="O13" s="73"/>
      <c r="P13" s="73"/>
      <c r="Q13" s="73"/>
      <c r="R13" s="73"/>
      <c r="S13" s="79"/>
      <c r="T13" s="78"/>
      <c r="U13" s="78"/>
      <c r="V13" s="78"/>
      <c r="W13" s="78"/>
      <c r="X13" s="78"/>
      <c r="Y13" s="78"/>
      <c r="Z13" s="78"/>
    </row>
    <row r="14" spans="1:26" ht="15">
      <c r="A14"/>
      <c r="B14" s="77"/>
      <c r="C14"/>
      <c r="D14" s="77"/>
      <c r="E14" s="77"/>
      <c r="F14" s="73"/>
      <c r="G14" s="73"/>
      <c r="H14" s="73"/>
      <c r="I14" s="73"/>
      <c r="J14" s="73"/>
      <c r="K14" s="78"/>
      <c r="L14" s="73"/>
      <c r="M14" s="73"/>
      <c r="N14" s="73"/>
      <c r="O14" s="73"/>
      <c r="P14" s="73"/>
      <c r="Q14" s="73"/>
      <c r="R14" s="73"/>
      <c r="S14" s="79"/>
      <c r="T14" s="78"/>
      <c r="U14" s="78"/>
      <c r="V14" s="78"/>
      <c r="W14" s="78"/>
      <c r="X14" s="78"/>
      <c r="Y14" s="78"/>
      <c r="Z14" s="78"/>
    </row>
    <row r="15" spans="1:26" ht="15">
      <c r="A15" s="80"/>
      <c r="B15"/>
      <c r="C15" s="77"/>
      <c r="D15" s="77"/>
      <c r="E15" s="77"/>
      <c r="F15" s="73"/>
      <c r="G15" s="73"/>
      <c r="H15" s="73"/>
      <c r="I15" s="73"/>
      <c r="J15" s="73"/>
      <c r="K15" s="78"/>
      <c r="L15" s="73"/>
      <c r="P15"/>
      <c r="Q15"/>
      <c r="R15" s="73"/>
      <c r="S15" s="79"/>
      <c r="T15" s="78"/>
      <c r="U15" s="78"/>
      <c r="V15" s="78"/>
      <c r="W15" s="78"/>
      <c r="X15" s="78"/>
      <c r="Y15" s="78"/>
      <c r="Z15" s="78"/>
    </row>
    <row r="16" spans="1:26">
      <c r="P16"/>
    </row>
    <row r="17" spans="1:16">
      <c r="P17" s="86"/>
    </row>
    <row r="23" spans="1:16">
      <c r="A23"/>
      <c r="K23"/>
    </row>
  </sheetData>
  <mergeCells count="37">
    <mergeCell ref="O2:O3"/>
    <mergeCell ref="P2:P3"/>
    <mergeCell ref="Q2:Q3"/>
    <mergeCell ref="U2:U3"/>
    <mergeCell ref="V1:V3"/>
    <mergeCell ref="R2:T3"/>
    <mergeCell ref="A2:A3"/>
    <mergeCell ref="A4:A9"/>
    <mergeCell ref="B2:B3"/>
    <mergeCell ref="B4:B9"/>
    <mergeCell ref="C2:C3"/>
    <mergeCell ref="C4:C9"/>
    <mergeCell ref="V11:W11"/>
    <mergeCell ref="B12:C12"/>
    <mergeCell ref="D12:E12"/>
    <mergeCell ref="F12:H12"/>
    <mergeCell ref="J12:L12"/>
    <mergeCell ref="M12:O12"/>
    <mergeCell ref="P12:R12"/>
    <mergeCell ref="S12:U12"/>
    <mergeCell ref="V12:W12"/>
    <mergeCell ref="E1:H1"/>
    <mergeCell ref="R1:T1"/>
    <mergeCell ref="E2:H2"/>
    <mergeCell ref="B11:C11"/>
    <mergeCell ref="D11:E11"/>
    <mergeCell ref="F11:G11"/>
    <mergeCell ref="J11:L11"/>
    <mergeCell ref="M11:O11"/>
    <mergeCell ref="P11:Q11"/>
    <mergeCell ref="S11:T11"/>
    <mergeCell ref="D2:D3"/>
    <mergeCell ref="J2:J3"/>
    <mergeCell ref="K2:K3"/>
    <mergeCell ref="L2:L3"/>
    <mergeCell ref="M2:M3"/>
    <mergeCell ref="N2:N3"/>
  </mergeCells>
  <pageMargins left="0.36" right="0.31" top="0.98425196850393704" bottom="0.98425196850393704" header="0.511811023622047" footer="0.511811023622047"/>
  <pageSetup paperSize="9" scale="5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56"/>
  <sheetViews>
    <sheetView topLeftCell="A30" zoomScale="70" zoomScaleNormal="70" workbookViewId="0">
      <selection activeCell="A25" sqref="A25:U65"/>
    </sheetView>
  </sheetViews>
  <sheetFormatPr baseColWidth="10" defaultColWidth="9" defaultRowHeight="14.6"/>
  <cols>
    <col min="1" max="1" width="18.765625" style="40" customWidth="1"/>
    <col min="2" max="2" width="13.84375" style="40" customWidth="1"/>
    <col min="3" max="3" width="12" style="40" customWidth="1"/>
    <col min="4" max="4" width="20.69140625" style="40" customWidth="1"/>
    <col min="5" max="9" width="6.4609375" style="40" customWidth="1"/>
    <col min="10" max="11" width="9" style="40"/>
    <col min="12" max="12" width="9.3046875" style="40"/>
    <col min="13" max="17" width="9" style="40"/>
    <col min="18" max="18" width="9" style="40" customWidth="1"/>
    <col min="19" max="21" width="9" style="40"/>
    <col min="22" max="22" width="13.4609375" style="40" customWidth="1"/>
    <col min="23" max="23" width="11.23046875" style="40" customWidth="1"/>
    <col min="24" max="16384" width="9" style="40"/>
  </cols>
  <sheetData>
    <row r="1" spans="1:22" ht="28.85" customHeight="1">
      <c r="A1" s="41" t="s">
        <v>62</v>
      </c>
      <c r="B1" s="41" t="s">
        <v>63</v>
      </c>
      <c r="C1" s="41" t="s">
        <v>64</v>
      </c>
      <c r="D1" s="41" t="s">
        <v>65</v>
      </c>
      <c r="E1" s="28" t="s">
        <v>66</v>
      </c>
      <c r="F1" s="24"/>
      <c r="G1" s="24"/>
      <c r="H1" s="24"/>
      <c r="I1" s="24"/>
      <c r="J1" s="41" t="s">
        <v>67</v>
      </c>
      <c r="K1" s="41" t="s">
        <v>68</v>
      </c>
      <c r="L1" s="41" t="s">
        <v>69</v>
      </c>
      <c r="M1" s="41" t="s">
        <v>70</v>
      </c>
      <c r="N1" s="41" t="s">
        <v>71</v>
      </c>
      <c r="O1" s="41" t="s">
        <v>72</v>
      </c>
      <c r="P1" s="41" t="s">
        <v>73</v>
      </c>
      <c r="Q1" s="41" t="s">
        <v>74</v>
      </c>
      <c r="R1" s="28" t="s">
        <v>75</v>
      </c>
      <c r="S1" s="24"/>
      <c r="T1" s="20"/>
      <c r="U1" s="41" t="s">
        <v>76</v>
      </c>
      <c r="V1" s="145" t="s">
        <v>77</v>
      </c>
    </row>
    <row r="2" spans="1:22" ht="22.1" customHeight="1">
      <c r="A2" s="27" t="s">
        <v>78</v>
      </c>
      <c r="B2" s="23" t="s">
        <v>21</v>
      </c>
      <c r="C2" s="19" t="s">
        <v>79</v>
      </c>
      <c r="D2" s="23" t="s">
        <v>80</v>
      </c>
      <c r="E2" s="16" t="s">
        <v>81</v>
      </c>
      <c r="F2" s="16"/>
      <c r="G2" s="16"/>
      <c r="H2" s="16"/>
      <c r="I2" s="16"/>
      <c r="J2" s="33" t="s">
        <v>82</v>
      </c>
      <c r="K2" s="25" t="s">
        <v>83</v>
      </c>
      <c r="L2" s="17" t="s">
        <v>26</v>
      </c>
      <c r="M2" s="17" t="s">
        <v>25</v>
      </c>
      <c r="N2" s="23" t="s">
        <v>84</v>
      </c>
      <c r="O2" s="27" t="s">
        <v>85</v>
      </c>
      <c r="P2" s="17" t="s">
        <v>86</v>
      </c>
      <c r="Q2" s="17" t="s">
        <v>87</v>
      </c>
      <c r="R2" s="17" t="s">
        <v>88</v>
      </c>
      <c r="S2" s="17"/>
      <c r="T2" s="17"/>
      <c r="U2" s="143" t="s">
        <v>89</v>
      </c>
      <c r="V2" s="146"/>
    </row>
    <row r="3" spans="1:22" ht="22.1" customHeight="1">
      <c r="A3" s="23"/>
      <c r="B3" s="34"/>
      <c r="C3" s="38"/>
      <c r="D3" s="37"/>
      <c r="E3" s="48" t="s">
        <v>110</v>
      </c>
      <c r="F3" s="48" t="s">
        <v>91</v>
      </c>
      <c r="G3" s="48" t="s">
        <v>92</v>
      </c>
      <c r="H3" s="48" t="s">
        <v>111</v>
      </c>
      <c r="I3" s="48" t="s">
        <v>112</v>
      </c>
      <c r="J3" s="29"/>
      <c r="K3" s="21"/>
      <c r="L3" s="17"/>
      <c r="M3" s="17"/>
      <c r="N3" s="142"/>
      <c r="O3" s="27"/>
      <c r="P3" s="27"/>
      <c r="Q3" s="27"/>
      <c r="R3" s="17"/>
      <c r="S3" s="17"/>
      <c r="T3" s="17"/>
      <c r="U3" s="144"/>
      <c r="V3" s="146"/>
    </row>
    <row r="4" spans="1:22" ht="18.899999999999999" customHeight="1">
      <c r="A4" s="30" t="s">
        <v>40</v>
      </c>
      <c r="B4" s="30" t="s">
        <v>32</v>
      </c>
      <c r="C4" s="22" t="s">
        <v>42</v>
      </c>
      <c r="D4" s="87" t="s">
        <v>96</v>
      </c>
      <c r="E4" s="50">
        <v>2</v>
      </c>
      <c r="F4" s="50">
        <v>3</v>
      </c>
      <c r="G4" s="50">
        <v>3</v>
      </c>
      <c r="H4" s="50">
        <v>3</v>
      </c>
      <c r="I4" s="50">
        <v>2</v>
      </c>
      <c r="J4" s="46">
        <f t="shared" ref="J4:J10" si="0">SUM(E4:I4)</f>
        <v>13</v>
      </c>
      <c r="K4" s="52">
        <v>32</v>
      </c>
      <c r="L4" s="45">
        <f>J4+J5+J6+J7+J8+J9</f>
        <v>38</v>
      </c>
      <c r="M4" s="45">
        <f>L4*K4</f>
        <v>1216</v>
      </c>
      <c r="N4" s="53">
        <v>29.7</v>
      </c>
      <c r="O4" s="53">
        <f t="shared" ref="O4" si="1">N4-2</f>
        <v>27.7</v>
      </c>
      <c r="P4" s="54">
        <f>K4*N4</f>
        <v>950.4</v>
      </c>
      <c r="Q4" s="54">
        <f>K4*O4</f>
        <v>886.4</v>
      </c>
      <c r="R4" s="55">
        <v>61</v>
      </c>
      <c r="S4" s="55">
        <v>50</v>
      </c>
      <c r="T4" s="55">
        <v>82</v>
      </c>
      <c r="U4" s="56">
        <f>T4*S4*R4*K4/1000000</f>
        <v>8.0031999999999996</v>
      </c>
      <c r="V4" s="44"/>
    </row>
    <row r="5" spans="1:22" ht="18.899999999999999" customHeight="1">
      <c r="A5" s="26"/>
      <c r="B5" s="26"/>
      <c r="C5" s="18"/>
      <c r="D5" s="87" t="s">
        <v>113</v>
      </c>
      <c r="E5" s="50">
        <v>1</v>
      </c>
      <c r="F5" s="50">
        <v>1</v>
      </c>
      <c r="G5" s="50">
        <v>1</v>
      </c>
      <c r="H5" s="50">
        <v>1</v>
      </c>
      <c r="I5" s="50">
        <v>1</v>
      </c>
      <c r="J5" s="46">
        <f t="shared" si="0"/>
        <v>5</v>
      </c>
      <c r="K5" s="57"/>
      <c r="L5" s="58"/>
      <c r="M5" s="58"/>
      <c r="N5" s="58"/>
      <c r="O5" s="58"/>
      <c r="P5" s="58"/>
      <c r="Q5" s="58"/>
      <c r="R5" s="58"/>
      <c r="S5" s="58"/>
      <c r="T5" s="58"/>
      <c r="U5" s="58"/>
      <c r="V5" s="59"/>
    </row>
    <row r="6" spans="1:22" ht="18.899999999999999" customHeight="1">
      <c r="A6" s="26"/>
      <c r="B6" s="26"/>
      <c r="C6" s="18"/>
      <c r="D6" s="87" t="s">
        <v>114</v>
      </c>
      <c r="E6" s="50">
        <v>1</v>
      </c>
      <c r="F6" s="50">
        <v>1</v>
      </c>
      <c r="G6" s="50">
        <v>1</v>
      </c>
      <c r="H6" s="50">
        <v>1</v>
      </c>
      <c r="I6" s="50">
        <v>1</v>
      </c>
      <c r="J6" s="46">
        <f t="shared" si="0"/>
        <v>5</v>
      </c>
      <c r="K6" s="60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22" ht="18.899999999999999" customHeight="1">
      <c r="A7" s="26"/>
      <c r="B7" s="26"/>
      <c r="C7" s="18"/>
      <c r="D7" s="87" t="s">
        <v>115</v>
      </c>
      <c r="E7" s="50">
        <v>1</v>
      </c>
      <c r="F7" s="50">
        <v>1</v>
      </c>
      <c r="G7" s="50">
        <v>1</v>
      </c>
      <c r="H7" s="50">
        <v>1</v>
      </c>
      <c r="I7" s="50">
        <v>1</v>
      </c>
      <c r="J7" s="46">
        <f t="shared" si="0"/>
        <v>5</v>
      </c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2"/>
    </row>
    <row r="8" spans="1:22" ht="18.899999999999999" customHeight="1">
      <c r="A8" s="26"/>
      <c r="B8" s="26"/>
      <c r="C8" s="18"/>
      <c r="D8" s="87" t="s">
        <v>116</v>
      </c>
      <c r="E8" s="50">
        <v>1</v>
      </c>
      <c r="F8" s="50">
        <v>1</v>
      </c>
      <c r="G8" s="50">
        <v>1</v>
      </c>
      <c r="H8" s="50">
        <v>1</v>
      </c>
      <c r="I8" s="50">
        <v>1</v>
      </c>
      <c r="J8" s="46">
        <f t="shared" si="0"/>
        <v>5</v>
      </c>
      <c r="K8" s="60"/>
      <c r="L8" s="61"/>
      <c r="M8" s="61"/>
      <c r="N8" s="61"/>
      <c r="O8" s="61"/>
      <c r="P8" s="61"/>
      <c r="Q8" s="61"/>
      <c r="R8" s="61"/>
      <c r="S8" s="61"/>
      <c r="T8" s="61"/>
      <c r="U8" s="61"/>
      <c r="V8" s="62"/>
    </row>
    <row r="9" spans="1:22" ht="18.899999999999999" customHeight="1">
      <c r="A9" s="26"/>
      <c r="B9" s="26"/>
      <c r="C9" s="148"/>
      <c r="D9" s="87" t="s">
        <v>117</v>
      </c>
      <c r="E9" s="50">
        <v>1</v>
      </c>
      <c r="F9" s="50">
        <v>1</v>
      </c>
      <c r="G9" s="50">
        <v>1</v>
      </c>
      <c r="H9" s="50">
        <v>1</v>
      </c>
      <c r="I9" s="50">
        <v>1</v>
      </c>
      <c r="J9" s="46">
        <f t="shared" si="0"/>
        <v>5</v>
      </c>
      <c r="K9" s="60"/>
      <c r="L9" s="61"/>
      <c r="M9" s="61"/>
      <c r="N9" s="61"/>
      <c r="O9" s="61"/>
      <c r="P9" s="61"/>
      <c r="Q9" s="61"/>
      <c r="R9" s="61"/>
      <c r="S9" s="61"/>
      <c r="T9" s="61"/>
      <c r="U9" s="61"/>
      <c r="V9" s="62"/>
    </row>
    <row r="10" spans="1:22" ht="18.899999999999999" customHeight="1">
      <c r="A10" s="26"/>
      <c r="B10" s="26"/>
      <c r="C10" s="149" t="s">
        <v>118</v>
      </c>
      <c r="D10" s="87" t="s">
        <v>96</v>
      </c>
      <c r="E10" s="50">
        <v>2</v>
      </c>
      <c r="F10" s="50">
        <v>3</v>
      </c>
      <c r="G10" s="50">
        <v>3</v>
      </c>
      <c r="H10" s="50">
        <v>3</v>
      </c>
      <c r="I10" s="50">
        <v>2</v>
      </c>
      <c r="J10" s="46">
        <f t="shared" si="0"/>
        <v>13</v>
      </c>
      <c r="K10" s="52">
        <v>1</v>
      </c>
      <c r="L10" s="47">
        <f>J10+J11+J12+J13+J14</f>
        <v>38</v>
      </c>
      <c r="M10" s="47">
        <f>L10*K10</f>
        <v>38</v>
      </c>
      <c r="N10" s="53">
        <v>29.7</v>
      </c>
      <c r="O10" s="53">
        <f t="shared" ref="O10" si="2">N10-2</f>
        <v>27.7</v>
      </c>
      <c r="P10" s="54">
        <f>K10*N10</f>
        <v>29.7</v>
      </c>
      <c r="Q10" s="54">
        <f>K10*O10</f>
        <v>27.7</v>
      </c>
      <c r="R10" s="63">
        <v>61</v>
      </c>
      <c r="S10" s="63">
        <v>50</v>
      </c>
      <c r="T10" s="63">
        <v>82</v>
      </c>
      <c r="U10" s="64">
        <f>T10*S10*R10*K10/1000000</f>
        <v>0.25009999999999999</v>
      </c>
      <c r="V10" s="43"/>
    </row>
    <row r="11" spans="1:22" ht="18.899999999999999" customHeight="1">
      <c r="A11" s="26"/>
      <c r="B11" s="26"/>
      <c r="C11" s="149"/>
      <c r="D11" s="87" t="s">
        <v>114</v>
      </c>
      <c r="E11" s="50">
        <v>1</v>
      </c>
      <c r="F11" s="50">
        <v>1</v>
      </c>
      <c r="G11" s="50">
        <v>1</v>
      </c>
      <c r="H11" s="50">
        <v>1</v>
      </c>
      <c r="I11" s="50">
        <v>1</v>
      </c>
      <c r="J11" s="46">
        <v>5</v>
      </c>
      <c r="K11" s="60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2"/>
    </row>
    <row r="12" spans="1:22" ht="18.899999999999999" customHeight="1">
      <c r="A12" s="26"/>
      <c r="B12" s="26"/>
      <c r="C12" s="149"/>
      <c r="D12" s="87" t="s">
        <v>115</v>
      </c>
      <c r="E12" s="50">
        <v>1</v>
      </c>
      <c r="F12" s="50">
        <v>1</v>
      </c>
      <c r="G12" s="50">
        <v>1</v>
      </c>
      <c r="H12" s="50">
        <v>1</v>
      </c>
      <c r="I12" s="50">
        <v>1</v>
      </c>
      <c r="J12" s="46">
        <v>5</v>
      </c>
      <c r="K12" s="60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2"/>
    </row>
    <row r="13" spans="1:22" ht="18.899999999999999" customHeight="1">
      <c r="A13" s="26"/>
      <c r="B13" s="26"/>
      <c r="C13" s="149"/>
      <c r="D13" s="87" t="s">
        <v>119</v>
      </c>
      <c r="E13" s="50">
        <v>1</v>
      </c>
      <c r="F13" s="50">
        <v>1</v>
      </c>
      <c r="G13" s="50">
        <v>1</v>
      </c>
      <c r="H13" s="50">
        <v>1</v>
      </c>
      <c r="I13" s="50">
        <v>1</v>
      </c>
      <c r="J13" s="46">
        <v>5</v>
      </c>
      <c r="K13" s="60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2"/>
    </row>
    <row r="14" spans="1:22" ht="18.899999999999999" customHeight="1">
      <c r="A14" s="26"/>
      <c r="B14" s="26"/>
      <c r="C14" s="149"/>
      <c r="D14" s="87" t="s">
        <v>117</v>
      </c>
      <c r="E14" s="50">
        <v>2</v>
      </c>
      <c r="F14" s="50">
        <v>2</v>
      </c>
      <c r="G14" s="50">
        <v>2</v>
      </c>
      <c r="H14" s="50">
        <v>2</v>
      </c>
      <c r="I14" s="50">
        <v>2</v>
      </c>
      <c r="J14" s="88">
        <f t="shared" ref="J14:J24" si="3">E14+F14+G14+H14+I14</f>
        <v>10</v>
      </c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2"/>
    </row>
    <row r="15" spans="1:22" ht="18.899999999999999" customHeight="1">
      <c r="A15" s="26"/>
      <c r="B15" s="26"/>
      <c r="C15" s="149" t="s">
        <v>47</v>
      </c>
      <c r="D15" s="87" t="s">
        <v>96</v>
      </c>
      <c r="E15" s="50">
        <v>2</v>
      </c>
      <c r="F15" s="50">
        <v>3</v>
      </c>
      <c r="G15" s="50">
        <v>3</v>
      </c>
      <c r="H15" s="50">
        <v>3</v>
      </c>
      <c r="I15" s="50">
        <v>2</v>
      </c>
      <c r="J15" s="46">
        <f t="shared" si="3"/>
        <v>13</v>
      </c>
      <c r="K15" s="52">
        <v>2</v>
      </c>
      <c r="L15" s="47">
        <f>J15+J16+J17+J18</f>
        <v>38</v>
      </c>
      <c r="M15" s="47">
        <f>L15*K15</f>
        <v>76</v>
      </c>
      <c r="N15" s="53">
        <v>29.7</v>
      </c>
      <c r="O15" s="53">
        <f t="shared" ref="O15" si="4">N15-2</f>
        <v>27.7</v>
      </c>
      <c r="P15" s="54">
        <f>K15*N15</f>
        <v>59.4</v>
      </c>
      <c r="Q15" s="54">
        <f>K15*O15</f>
        <v>55.4</v>
      </c>
      <c r="R15" s="63">
        <v>61</v>
      </c>
      <c r="S15" s="63">
        <v>50</v>
      </c>
      <c r="T15" s="63">
        <v>82</v>
      </c>
      <c r="U15" s="64">
        <f>T15*S15*R15*K15/1000000</f>
        <v>0.50019999999999998</v>
      </c>
      <c r="V15" s="43"/>
    </row>
    <row r="16" spans="1:22" ht="18.899999999999999" customHeight="1">
      <c r="A16" s="26"/>
      <c r="B16" s="26"/>
      <c r="C16" s="149"/>
      <c r="D16" s="87" t="s">
        <v>114</v>
      </c>
      <c r="E16" s="50">
        <v>1</v>
      </c>
      <c r="F16" s="50">
        <v>1</v>
      </c>
      <c r="G16" s="50">
        <v>1</v>
      </c>
      <c r="H16" s="50">
        <v>1</v>
      </c>
      <c r="I16" s="50">
        <v>1</v>
      </c>
      <c r="J16" s="46">
        <f t="shared" si="3"/>
        <v>5</v>
      </c>
      <c r="K16" s="60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2"/>
    </row>
    <row r="17" spans="1:22" ht="18.899999999999999" customHeight="1">
      <c r="A17" s="26"/>
      <c r="B17" s="26"/>
      <c r="C17" s="149"/>
      <c r="D17" s="87" t="s">
        <v>119</v>
      </c>
      <c r="E17" s="50">
        <v>2</v>
      </c>
      <c r="F17" s="50">
        <v>2</v>
      </c>
      <c r="G17" s="50">
        <v>2</v>
      </c>
      <c r="H17" s="50">
        <v>2</v>
      </c>
      <c r="I17" s="50">
        <v>2</v>
      </c>
      <c r="J17" s="46">
        <f t="shared" si="3"/>
        <v>10</v>
      </c>
      <c r="K17" s="60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2"/>
    </row>
    <row r="18" spans="1:22" ht="18.899999999999999" customHeight="1">
      <c r="A18" s="26"/>
      <c r="B18" s="26"/>
      <c r="C18" s="149"/>
      <c r="D18" s="87" t="s">
        <v>117</v>
      </c>
      <c r="E18" s="50">
        <v>2</v>
      </c>
      <c r="F18" s="50">
        <v>2</v>
      </c>
      <c r="G18" s="50">
        <v>2</v>
      </c>
      <c r="H18" s="50">
        <v>2</v>
      </c>
      <c r="I18" s="50">
        <v>2</v>
      </c>
      <c r="J18" s="46">
        <f t="shared" si="3"/>
        <v>10</v>
      </c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2"/>
    </row>
    <row r="19" spans="1:22" ht="18.899999999999999" customHeight="1">
      <c r="A19" s="26"/>
      <c r="B19" s="26"/>
      <c r="C19" s="22" t="s">
        <v>120</v>
      </c>
      <c r="D19" s="87" t="s">
        <v>96</v>
      </c>
      <c r="E19" s="50">
        <v>3</v>
      </c>
      <c r="F19" s="50">
        <v>4</v>
      </c>
      <c r="G19" s="50">
        <v>4</v>
      </c>
      <c r="H19" s="50">
        <v>4</v>
      </c>
      <c r="I19" s="50">
        <v>3</v>
      </c>
      <c r="J19" s="46">
        <f t="shared" si="3"/>
        <v>18</v>
      </c>
      <c r="K19" s="52">
        <v>2</v>
      </c>
      <c r="L19" s="47">
        <f>J19+J20+J21</f>
        <v>38</v>
      </c>
      <c r="M19" s="47">
        <f>L19*K19</f>
        <v>76</v>
      </c>
      <c r="N19" s="53">
        <v>29.7</v>
      </c>
      <c r="O19" s="53">
        <f t="shared" ref="O19" si="5">N19-2</f>
        <v>27.7</v>
      </c>
      <c r="P19" s="54">
        <f>K19*N19</f>
        <v>59.4</v>
      </c>
      <c r="Q19" s="54">
        <f>K19*O19</f>
        <v>55.4</v>
      </c>
      <c r="R19" s="63">
        <v>61</v>
      </c>
      <c r="S19" s="63">
        <v>50</v>
      </c>
      <c r="T19" s="63">
        <v>82</v>
      </c>
      <c r="U19" s="64">
        <f>T19*S19*R19*K19/1000000</f>
        <v>0.50019999999999998</v>
      </c>
      <c r="V19" s="43"/>
    </row>
    <row r="20" spans="1:22" ht="18.899999999999999" customHeight="1">
      <c r="A20" s="26"/>
      <c r="B20" s="26"/>
      <c r="C20" s="18"/>
      <c r="D20" s="87" t="s">
        <v>119</v>
      </c>
      <c r="E20" s="50">
        <v>2</v>
      </c>
      <c r="F20" s="50">
        <v>2</v>
      </c>
      <c r="G20" s="50">
        <v>2</v>
      </c>
      <c r="H20" s="50">
        <v>2</v>
      </c>
      <c r="I20" s="50">
        <v>2</v>
      </c>
      <c r="J20" s="46">
        <f t="shared" si="3"/>
        <v>10</v>
      </c>
      <c r="K20" s="60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2"/>
    </row>
    <row r="21" spans="1:22" ht="18.899999999999999" customHeight="1">
      <c r="A21" s="26"/>
      <c r="B21" s="26"/>
      <c r="C21" s="148"/>
      <c r="D21" s="87" t="s">
        <v>117</v>
      </c>
      <c r="E21" s="50">
        <v>2</v>
      </c>
      <c r="F21" s="50">
        <v>2</v>
      </c>
      <c r="G21" s="50">
        <v>2</v>
      </c>
      <c r="H21" s="50">
        <v>2</v>
      </c>
      <c r="I21" s="50">
        <v>2</v>
      </c>
      <c r="J21" s="46">
        <f t="shared" si="3"/>
        <v>10</v>
      </c>
      <c r="K21" s="60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2"/>
    </row>
    <row r="22" spans="1:22" ht="18.899999999999999" customHeight="1">
      <c r="A22" s="26"/>
      <c r="B22" s="26"/>
      <c r="C22" s="18" t="s">
        <v>121</v>
      </c>
      <c r="D22" s="87" t="s">
        <v>96</v>
      </c>
      <c r="E22" s="50">
        <v>4</v>
      </c>
      <c r="F22" s="50">
        <v>5</v>
      </c>
      <c r="G22" s="50">
        <v>5</v>
      </c>
      <c r="H22" s="50">
        <v>5</v>
      </c>
      <c r="I22" s="50">
        <v>4</v>
      </c>
      <c r="J22" s="46">
        <f t="shared" si="3"/>
        <v>23</v>
      </c>
      <c r="K22" s="52">
        <v>1</v>
      </c>
      <c r="L22" s="47">
        <f>J22+J23+J24</f>
        <v>38</v>
      </c>
      <c r="M22" s="47">
        <f>L22*K22</f>
        <v>38</v>
      </c>
      <c r="N22" s="53">
        <v>29.7</v>
      </c>
      <c r="O22" s="53">
        <f t="shared" ref="O22" si="6">N22-2</f>
        <v>27.7</v>
      </c>
      <c r="P22" s="54">
        <f>K22*N22</f>
        <v>29.7</v>
      </c>
      <c r="Q22" s="54">
        <f>K22*O22</f>
        <v>27.7</v>
      </c>
      <c r="R22" s="63">
        <v>61</v>
      </c>
      <c r="S22" s="63">
        <v>50</v>
      </c>
      <c r="T22" s="63">
        <v>82</v>
      </c>
      <c r="U22" s="64">
        <f>T22*S22*R22*K22/1000000</f>
        <v>0.25009999999999999</v>
      </c>
      <c r="V22" s="43"/>
    </row>
    <row r="23" spans="1:22" ht="18.899999999999999" customHeight="1">
      <c r="A23" s="26"/>
      <c r="B23" s="26"/>
      <c r="C23" s="18"/>
      <c r="D23" s="87" t="s">
        <v>119</v>
      </c>
      <c r="E23" s="50">
        <v>2</v>
      </c>
      <c r="F23" s="50">
        <v>2</v>
      </c>
      <c r="G23" s="50">
        <v>2</v>
      </c>
      <c r="H23" s="50">
        <v>2</v>
      </c>
      <c r="I23" s="50">
        <v>2</v>
      </c>
      <c r="J23" s="46">
        <f t="shared" si="3"/>
        <v>10</v>
      </c>
      <c r="K23" s="60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2"/>
    </row>
    <row r="24" spans="1:22" ht="18.899999999999999" customHeight="1">
      <c r="A24" s="26"/>
      <c r="B24" s="26"/>
      <c r="C24" s="18"/>
      <c r="D24" s="87" t="s">
        <v>117</v>
      </c>
      <c r="E24" s="50">
        <v>1</v>
      </c>
      <c r="F24" s="50">
        <v>1</v>
      </c>
      <c r="G24" s="50">
        <v>1</v>
      </c>
      <c r="H24" s="50">
        <v>1</v>
      </c>
      <c r="I24" s="50">
        <v>1</v>
      </c>
      <c r="J24" s="46">
        <f t="shared" si="3"/>
        <v>5</v>
      </c>
      <c r="K24" s="60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2"/>
    </row>
    <row r="25" spans="1:22" ht="18.899999999999999" customHeight="1">
      <c r="A25" s="30" t="s">
        <v>45</v>
      </c>
      <c r="B25" s="30" t="s">
        <v>32</v>
      </c>
      <c r="C25" s="149" t="s">
        <v>46</v>
      </c>
      <c r="D25" s="87" t="s">
        <v>96</v>
      </c>
      <c r="E25" s="50">
        <v>2</v>
      </c>
      <c r="F25" s="50">
        <v>3</v>
      </c>
      <c r="G25" s="50">
        <v>3</v>
      </c>
      <c r="H25" s="50">
        <v>3</v>
      </c>
      <c r="I25" s="50">
        <v>2</v>
      </c>
      <c r="J25" s="46">
        <f t="shared" ref="J25:J30" si="7">SUM(E25:I25)</f>
        <v>13</v>
      </c>
      <c r="K25" s="52">
        <v>33</v>
      </c>
      <c r="L25" s="45">
        <f>J25+J26+J27+J28+J29+J30</f>
        <v>38</v>
      </c>
      <c r="M25" s="45">
        <f>L25*K25</f>
        <v>1254</v>
      </c>
      <c r="N25" s="53">
        <v>29.7</v>
      </c>
      <c r="O25" s="53">
        <f t="shared" ref="O25" si="8">N25-2</f>
        <v>27.7</v>
      </c>
      <c r="P25" s="54">
        <f>K25*N25</f>
        <v>980.1</v>
      </c>
      <c r="Q25" s="54">
        <f>K25*O25</f>
        <v>914.1</v>
      </c>
      <c r="R25" s="55">
        <v>61</v>
      </c>
      <c r="S25" s="55">
        <v>50</v>
      </c>
      <c r="T25" s="55">
        <v>82</v>
      </c>
      <c r="U25" s="56">
        <f>T25*S25*R25*K25/1000000</f>
        <v>8.2532999999999994</v>
      </c>
      <c r="V25" s="44"/>
    </row>
    <row r="26" spans="1:22" ht="18.899999999999999" customHeight="1">
      <c r="A26" s="26"/>
      <c r="B26" s="26"/>
      <c r="C26" s="149"/>
      <c r="D26" s="87" t="s">
        <v>122</v>
      </c>
      <c r="E26" s="50">
        <v>1</v>
      </c>
      <c r="F26" s="50">
        <v>1</v>
      </c>
      <c r="G26" s="50">
        <v>1</v>
      </c>
      <c r="H26" s="50">
        <v>1</v>
      </c>
      <c r="I26" s="50">
        <v>1</v>
      </c>
      <c r="J26" s="46">
        <f t="shared" si="7"/>
        <v>5</v>
      </c>
      <c r="K26" s="57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9"/>
    </row>
    <row r="27" spans="1:22" ht="18.899999999999999" customHeight="1">
      <c r="A27" s="26"/>
      <c r="B27" s="26"/>
      <c r="C27" s="149"/>
      <c r="D27" s="87" t="s">
        <v>114</v>
      </c>
      <c r="E27" s="50">
        <v>1</v>
      </c>
      <c r="F27" s="50">
        <v>1</v>
      </c>
      <c r="G27" s="50">
        <v>1</v>
      </c>
      <c r="H27" s="50">
        <v>1</v>
      </c>
      <c r="I27" s="50">
        <v>1</v>
      </c>
      <c r="J27" s="46">
        <f t="shared" si="7"/>
        <v>5</v>
      </c>
      <c r="K27" s="60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2"/>
    </row>
    <row r="28" spans="1:22" ht="18.899999999999999" customHeight="1">
      <c r="A28" s="26"/>
      <c r="B28" s="26"/>
      <c r="C28" s="149"/>
      <c r="D28" s="87" t="s">
        <v>123</v>
      </c>
      <c r="E28" s="50">
        <v>1</v>
      </c>
      <c r="F28" s="50">
        <v>1</v>
      </c>
      <c r="G28" s="50">
        <v>1</v>
      </c>
      <c r="H28" s="50">
        <v>1</v>
      </c>
      <c r="I28" s="50">
        <v>1</v>
      </c>
      <c r="J28" s="46">
        <f t="shared" si="7"/>
        <v>5</v>
      </c>
      <c r="K28" s="60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2"/>
    </row>
    <row r="29" spans="1:22" ht="18.899999999999999" customHeight="1">
      <c r="A29" s="26"/>
      <c r="B29" s="26"/>
      <c r="C29" s="149"/>
      <c r="D29" s="89" t="s">
        <v>119</v>
      </c>
      <c r="E29" s="50">
        <v>1</v>
      </c>
      <c r="F29" s="50">
        <v>1</v>
      </c>
      <c r="G29" s="50">
        <v>1</v>
      </c>
      <c r="H29" s="50">
        <v>1</v>
      </c>
      <c r="I29" s="50">
        <v>1</v>
      </c>
      <c r="J29" s="46">
        <f t="shared" si="7"/>
        <v>5</v>
      </c>
      <c r="K29" s="60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2"/>
    </row>
    <row r="30" spans="1:22" ht="18.899999999999999" customHeight="1">
      <c r="A30" s="26"/>
      <c r="B30" s="26"/>
      <c r="C30" s="149"/>
      <c r="D30" s="87" t="s">
        <v>113</v>
      </c>
      <c r="E30" s="50">
        <v>1</v>
      </c>
      <c r="F30" s="50">
        <v>1</v>
      </c>
      <c r="G30" s="50">
        <v>1</v>
      </c>
      <c r="H30" s="50">
        <v>1</v>
      </c>
      <c r="I30" s="50">
        <v>1</v>
      </c>
      <c r="J30" s="46">
        <f t="shared" si="7"/>
        <v>5</v>
      </c>
      <c r="K30" s="60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2"/>
    </row>
    <row r="31" spans="1:22" ht="18.899999999999999" customHeight="1">
      <c r="A31" s="26"/>
      <c r="B31" s="26"/>
      <c r="C31" s="22" t="s">
        <v>47</v>
      </c>
      <c r="D31" s="87" t="s">
        <v>96</v>
      </c>
      <c r="E31" s="90">
        <v>3</v>
      </c>
      <c r="F31" s="90">
        <v>4</v>
      </c>
      <c r="G31" s="90">
        <v>4</v>
      </c>
      <c r="H31" s="50">
        <v>4</v>
      </c>
      <c r="I31" s="50">
        <v>3</v>
      </c>
      <c r="J31" s="46">
        <f t="shared" ref="J31:J41" si="9">E31+F31+G31+H31+I31</f>
        <v>18</v>
      </c>
      <c r="K31" s="52">
        <v>2</v>
      </c>
      <c r="L31" s="47">
        <f>J31+J32+J34+J33</f>
        <v>38</v>
      </c>
      <c r="M31" s="47">
        <f>L31*K31</f>
        <v>76</v>
      </c>
      <c r="N31" s="53">
        <v>29.7</v>
      </c>
      <c r="O31" s="53">
        <f t="shared" ref="O31" si="10">N31-2</f>
        <v>27.7</v>
      </c>
      <c r="P31" s="54">
        <f>K31*N31</f>
        <v>59.4</v>
      </c>
      <c r="Q31" s="54">
        <f>K31*O31</f>
        <v>55.4</v>
      </c>
      <c r="R31" s="63">
        <v>61</v>
      </c>
      <c r="S31" s="63">
        <v>50</v>
      </c>
      <c r="T31" s="63">
        <v>82</v>
      </c>
      <c r="U31" s="64">
        <f>T31*S31*R31*K31/1000000</f>
        <v>0.50019999999999998</v>
      </c>
      <c r="V31" s="43"/>
    </row>
    <row r="32" spans="1:22" ht="18.899999999999999" customHeight="1">
      <c r="A32" s="26"/>
      <c r="B32" s="26"/>
      <c r="C32" s="18"/>
      <c r="D32" s="87" t="s">
        <v>122</v>
      </c>
      <c r="E32" s="90">
        <v>1</v>
      </c>
      <c r="F32" s="90">
        <v>1</v>
      </c>
      <c r="G32" s="90">
        <v>1</v>
      </c>
      <c r="H32" s="50">
        <v>1</v>
      </c>
      <c r="I32" s="50">
        <v>1</v>
      </c>
      <c r="J32" s="46">
        <f t="shared" si="9"/>
        <v>5</v>
      </c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2"/>
    </row>
    <row r="33" spans="1:26" ht="18.899999999999999" customHeight="1">
      <c r="A33" s="26"/>
      <c r="B33" s="26"/>
      <c r="C33" s="18"/>
      <c r="D33" s="87" t="s">
        <v>114</v>
      </c>
      <c r="E33" s="90">
        <v>1</v>
      </c>
      <c r="F33" s="90">
        <v>1</v>
      </c>
      <c r="G33" s="90">
        <v>1</v>
      </c>
      <c r="H33" s="50">
        <v>1</v>
      </c>
      <c r="I33" s="50">
        <v>1</v>
      </c>
      <c r="J33" s="46">
        <f t="shared" si="9"/>
        <v>5</v>
      </c>
      <c r="K33" s="60"/>
      <c r="S33" s="61"/>
      <c r="T33" s="61"/>
      <c r="U33" s="61"/>
      <c r="V33" s="62"/>
    </row>
    <row r="34" spans="1:26" ht="18.899999999999999" customHeight="1">
      <c r="A34" s="26"/>
      <c r="B34" s="26"/>
      <c r="C34" s="148"/>
      <c r="D34" s="89" t="s">
        <v>116</v>
      </c>
      <c r="E34" s="90">
        <v>2</v>
      </c>
      <c r="F34" s="90">
        <v>2</v>
      </c>
      <c r="G34" s="90">
        <v>2</v>
      </c>
      <c r="H34" s="50">
        <v>2</v>
      </c>
      <c r="I34" s="50">
        <v>2</v>
      </c>
      <c r="J34" s="46">
        <f t="shared" si="9"/>
        <v>10</v>
      </c>
      <c r="K34" s="60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2"/>
    </row>
    <row r="35" spans="1:26" ht="18.899999999999999" customHeight="1">
      <c r="A35" s="26"/>
      <c r="B35" s="26"/>
      <c r="C35" s="18" t="s">
        <v>48</v>
      </c>
      <c r="D35" s="87" t="s">
        <v>96</v>
      </c>
      <c r="E35" s="90">
        <v>4</v>
      </c>
      <c r="F35" s="90">
        <v>5</v>
      </c>
      <c r="G35" s="90">
        <v>5</v>
      </c>
      <c r="H35" s="50">
        <v>5</v>
      </c>
      <c r="I35" s="50">
        <v>4</v>
      </c>
      <c r="J35" s="46">
        <f t="shared" si="9"/>
        <v>23</v>
      </c>
      <c r="K35" s="52">
        <v>1</v>
      </c>
      <c r="L35" s="47">
        <f>J35+J36+J37+J42</f>
        <v>38</v>
      </c>
      <c r="M35" s="47">
        <f t="shared" ref="M35:M40" si="11">L35*K35</f>
        <v>38</v>
      </c>
      <c r="N35" s="53">
        <v>29.7</v>
      </c>
      <c r="O35" s="53">
        <f t="shared" ref="O35" si="12">N35-2</f>
        <v>27.7</v>
      </c>
      <c r="P35" s="54">
        <f t="shared" ref="P35:P40" si="13">K35*N35</f>
        <v>29.7</v>
      </c>
      <c r="Q35" s="54">
        <f t="shared" ref="Q35:Q40" si="14">K35*O35</f>
        <v>27.7</v>
      </c>
      <c r="R35" s="63">
        <v>61</v>
      </c>
      <c r="S35" s="63">
        <v>50</v>
      </c>
      <c r="T35" s="63">
        <v>82</v>
      </c>
      <c r="U35" s="64">
        <f t="shared" ref="U35:U40" si="15">T35*S35*R35*K35/1000000</f>
        <v>0.25009999999999999</v>
      </c>
      <c r="V35" s="43"/>
    </row>
    <row r="36" spans="1:26" ht="18.899999999999999" customHeight="1">
      <c r="A36" s="26"/>
      <c r="B36" s="26"/>
      <c r="C36" s="18"/>
      <c r="D36" s="87" t="s">
        <v>114</v>
      </c>
      <c r="E36" s="90">
        <v>1</v>
      </c>
      <c r="F36" s="90">
        <v>1</v>
      </c>
      <c r="G36" s="90">
        <v>1</v>
      </c>
      <c r="H36" s="50">
        <v>1</v>
      </c>
      <c r="I36" s="50">
        <v>1</v>
      </c>
      <c r="J36" s="46">
        <f t="shared" si="9"/>
        <v>5</v>
      </c>
      <c r="K36" s="60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2"/>
    </row>
    <row r="37" spans="1:26" ht="18.899999999999999" customHeight="1">
      <c r="A37" s="26"/>
      <c r="B37" s="26"/>
      <c r="C37" s="18"/>
      <c r="D37" s="89" t="s">
        <v>116</v>
      </c>
      <c r="E37" s="90">
        <v>2</v>
      </c>
      <c r="F37" s="90">
        <v>2</v>
      </c>
      <c r="G37" s="90">
        <v>2</v>
      </c>
      <c r="H37" s="50">
        <v>2</v>
      </c>
      <c r="I37" s="50">
        <v>2</v>
      </c>
      <c r="J37" s="46">
        <f t="shared" si="9"/>
        <v>10</v>
      </c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2"/>
    </row>
    <row r="38" spans="1:26" ht="18.899999999999999" customHeight="1">
      <c r="A38" s="26"/>
      <c r="B38" s="26"/>
      <c r="C38" s="22" t="s">
        <v>124</v>
      </c>
      <c r="D38" s="87" t="s">
        <v>96</v>
      </c>
      <c r="E38" s="90">
        <v>3</v>
      </c>
      <c r="F38" s="90">
        <v>4</v>
      </c>
      <c r="G38" s="90">
        <v>4</v>
      </c>
      <c r="H38" s="50">
        <v>4</v>
      </c>
      <c r="I38" s="50">
        <v>3</v>
      </c>
      <c r="J38" s="46">
        <f t="shared" si="9"/>
        <v>18</v>
      </c>
      <c r="K38" s="52">
        <v>1</v>
      </c>
      <c r="L38" s="47">
        <f>J38+J39</f>
        <v>38</v>
      </c>
      <c r="M38" s="47">
        <f t="shared" si="11"/>
        <v>38</v>
      </c>
      <c r="N38" s="53">
        <v>29.7</v>
      </c>
      <c r="O38" s="53">
        <f t="shared" ref="O38" si="16">N38-2</f>
        <v>27.7</v>
      </c>
      <c r="P38" s="54">
        <f t="shared" si="13"/>
        <v>29.7</v>
      </c>
      <c r="Q38" s="54">
        <f t="shared" si="14"/>
        <v>27.7</v>
      </c>
      <c r="R38" s="63">
        <v>61</v>
      </c>
      <c r="S38" s="63">
        <v>50</v>
      </c>
      <c r="T38" s="63">
        <v>82</v>
      </c>
      <c r="U38" s="64">
        <f t="shared" si="15"/>
        <v>0.25009999999999999</v>
      </c>
      <c r="V38" s="43"/>
    </row>
    <row r="39" spans="1:26" ht="18.899999999999999" customHeight="1">
      <c r="A39" s="26"/>
      <c r="B39" s="26"/>
      <c r="C39" s="148"/>
      <c r="D39" s="89" t="s">
        <v>119</v>
      </c>
      <c r="E39" s="90">
        <v>4</v>
      </c>
      <c r="F39" s="90">
        <v>4</v>
      </c>
      <c r="G39" s="90">
        <v>4</v>
      </c>
      <c r="H39" s="50">
        <v>4</v>
      </c>
      <c r="I39" s="50">
        <v>4</v>
      </c>
      <c r="J39" s="46">
        <f t="shared" si="9"/>
        <v>20</v>
      </c>
      <c r="K39" s="60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2"/>
    </row>
    <row r="40" spans="1:26" ht="18.899999999999999" customHeight="1">
      <c r="A40" s="26"/>
      <c r="B40" s="26"/>
      <c r="C40" s="18" t="s">
        <v>121</v>
      </c>
      <c r="D40" s="87" t="s">
        <v>96</v>
      </c>
      <c r="E40" s="90">
        <v>1</v>
      </c>
      <c r="F40" s="90">
        <v>2</v>
      </c>
      <c r="G40" s="90">
        <v>8</v>
      </c>
      <c r="H40" s="50">
        <v>6</v>
      </c>
      <c r="I40" s="50">
        <v>1</v>
      </c>
      <c r="J40" s="46">
        <f t="shared" si="9"/>
        <v>18</v>
      </c>
      <c r="K40" s="52">
        <v>1</v>
      </c>
      <c r="L40" s="47">
        <f>J40+J41+J42+J47</f>
        <v>23</v>
      </c>
      <c r="M40" s="47">
        <f t="shared" si="11"/>
        <v>23</v>
      </c>
      <c r="N40" s="53">
        <v>29.7</v>
      </c>
      <c r="O40" s="53">
        <f t="shared" ref="O40" si="17">N40-2</f>
        <v>27.7</v>
      </c>
      <c r="P40" s="54">
        <f t="shared" si="13"/>
        <v>29.7</v>
      </c>
      <c r="Q40" s="54">
        <f t="shared" si="14"/>
        <v>27.7</v>
      </c>
      <c r="R40" s="63">
        <v>61</v>
      </c>
      <c r="S40" s="63">
        <v>50</v>
      </c>
      <c r="T40" s="63">
        <v>82</v>
      </c>
      <c r="U40" s="64">
        <f t="shared" si="15"/>
        <v>0.25009999999999999</v>
      </c>
      <c r="V40" s="43"/>
    </row>
    <row r="41" spans="1:26" ht="18.899999999999999" customHeight="1">
      <c r="A41" s="147"/>
      <c r="B41" s="147"/>
      <c r="C41" s="18"/>
      <c r="D41" s="89" t="s">
        <v>119</v>
      </c>
      <c r="E41" s="90">
        <v>1</v>
      </c>
      <c r="F41" s="90">
        <v>1</v>
      </c>
      <c r="G41" s="90">
        <v>1</v>
      </c>
      <c r="H41" s="50">
        <v>1</v>
      </c>
      <c r="I41" s="50">
        <v>1</v>
      </c>
      <c r="J41" s="46">
        <f t="shared" si="9"/>
        <v>5</v>
      </c>
      <c r="K41" s="60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2"/>
    </row>
    <row r="42" spans="1:26" ht="18.899999999999999" customHeight="1">
      <c r="A42" s="65" t="s">
        <v>99</v>
      </c>
      <c r="B42" s="66"/>
      <c r="C42" s="65"/>
      <c r="D42" s="67"/>
      <c r="E42" s="67"/>
      <c r="F42" s="67"/>
      <c r="G42" s="67"/>
      <c r="H42" s="66"/>
      <c r="I42" s="66"/>
      <c r="J42" s="68"/>
      <c r="K42" s="68">
        <f>SUM(K4:K41)</f>
        <v>76</v>
      </c>
      <c r="L42" s="68"/>
      <c r="M42" s="68">
        <f>SUM(M4:M41)</f>
        <v>2873</v>
      </c>
      <c r="N42" s="68"/>
      <c r="O42" s="68"/>
      <c r="P42" s="68">
        <f>SUM(P4:P41)</f>
        <v>2257.1999999999998</v>
      </c>
      <c r="Q42" s="68">
        <f>SUM(Q4:Q41)</f>
        <v>2105.1999999999998</v>
      </c>
      <c r="R42" s="68"/>
      <c r="S42" s="69"/>
      <c r="T42" s="69"/>
      <c r="U42" s="70">
        <f>SUM(U4:U41)</f>
        <v>19.0076</v>
      </c>
      <c r="V42" s="68"/>
    </row>
    <row r="43" spans="1:26" ht="17.600000000000001" customHeight="1">
      <c r="A43" s="71"/>
      <c r="B43" s="7"/>
      <c r="C43" s="7"/>
      <c r="D43" s="7"/>
      <c r="E43" s="7"/>
      <c r="F43" s="12"/>
      <c r="G43" s="12"/>
      <c r="H43" s="72"/>
      <c r="I43" s="72"/>
      <c r="J43" s="11"/>
      <c r="K43" s="11"/>
      <c r="L43" s="11"/>
      <c r="M43" s="11"/>
      <c r="N43" s="11"/>
      <c r="O43" s="11"/>
      <c r="P43" s="11"/>
      <c r="Q43" s="11"/>
      <c r="R43" s="73"/>
      <c r="S43" s="10"/>
      <c r="T43" s="10"/>
      <c r="U43" s="73"/>
      <c r="V43" s="10"/>
      <c r="W43" s="10"/>
      <c r="X43" s="74"/>
      <c r="Y43" s="74"/>
      <c r="Z43" s="74"/>
    </row>
    <row r="44" spans="1:26" ht="18" customHeight="1">
      <c r="A44" s="71" t="s">
        <v>100</v>
      </c>
      <c r="B44" s="39" t="s">
        <v>101</v>
      </c>
      <c r="C44" s="39"/>
      <c r="D44" s="39" t="s">
        <v>102</v>
      </c>
      <c r="E44" s="39"/>
      <c r="F44" s="35" t="s">
        <v>103</v>
      </c>
      <c r="G44" s="35"/>
      <c r="H44" s="35"/>
      <c r="I44" s="72"/>
      <c r="J44" s="31" t="s">
        <v>104</v>
      </c>
      <c r="K44" s="31"/>
      <c r="L44" s="31"/>
      <c r="M44" s="31" t="s">
        <v>105</v>
      </c>
      <c r="N44" s="31"/>
      <c r="O44" s="31"/>
      <c r="P44" s="31" t="s">
        <v>106</v>
      </c>
      <c r="Q44" s="31"/>
      <c r="R44" s="31"/>
      <c r="S44" s="10" t="s">
        <v>107</v>
      </c>
      <c r="T44" s="10"/>
      <c r="U44" s="10"/>
      <c r="V44" s="10" t="s">
        <v>108</v>
      </c>
      <c r="W44" s="10"/>
      <c r="X44" s="74"/>
      <c r="Y44" s="74" t="s">
        <v>109</v>
      </c>
      <c r="Z44" s="74"/>
    </row>
    <row r="45" spans="1:26" ht="15">
      <c r="A45" s="76"/>
      <c r="B45" s="77"/>
      <c r="C45" s="77"/>
      <c r="D45" s="77"/>
      <c r="E45" s="77"/>
      <c r="F45" s="73"/>
      <c r="G45" s="73"/>
      <c r="H45" s="73"/>
      <c r="I45" s="73"/>
      <c r="J45" s="73"/>
      <c r="K45" s="78"/>
      <c r="L45" s="73"/>
      <c r="M45" s="73"/>
      <c r="N45" s="73"/>
      <c r="O45" s="73"/>
      <c r="P45" s="73"/>
      <c r="Q45" s="73"/>
      <c r="R45" s="73"/>
      <c r="S45" s="79"/>
      <c r="T45" s="78"/>
      <c r="U45" s="78"/>
      <c r="V45" s="78"/>
      <c r="W45" s="78"/>
      <c r="X45" s="78"/>
      <c r="Y45" s="78"/>
      <c r="Z45" s="78"/>
    </row>
    <row r="46" spans="1:26" ht="15">
      <c r="A46"/>
      <c r="B46" s="77"/>
      <c r="C46"/>
      <c r="D46" s="77"/>
      <c r="E46" s="77"/>
      <c r="F46" s="73"/>
      <c r="G46" s="73"/>
      <c r="H46" s="73"/>
      <c r="I46" s="73"/>
      <c r="J46" s="73"/>
      <c r="M46" s="73"/>
      <c r="N46" s="73"/>
      <c r="O46" s="73"/>
      <c r="P46" s="73"/>
      <c r="Q46" s="73"/>
      <c r="R46" s="73"/>
      <c r="S46" s="79"/>
      <c r="T46" s="78"/>
      <c r="U46" s="78"/>
      <c r="V46" s="78"/>
      <c r="W46" s="78"/>
      <c r="X46" s="78"/>
      <c r="Y46" s="78"/>
      <c r="Z46" s="78"/>
    </row>
    <row r="47" spans="1:26" ht="15">
      <c r="A47" s="80"/>
      <c r="B47" s="77"/>
      <c r="C47" s="77"/>
      <c r="D47" s="77"/>
      <c r="E47" s="77"/>
      <c r="F47" s="73"/>
      <c r="G47" s="73"/>
      <c r="H47" s="73"/>
      <c r="I47" s="73"/>
      <c r="J47" s="73"/>
      <c r="M47" s="73"/>
      <c r="N47" s="73"/>
      <c r="O47" s="73"/>
      <c r="P47" s="73"/>
      <c r="Q47"/>
      <c r="R47" s="73"/>
      <c r="S47" s="79"/>
      <c r="T47" s="78"/>
      <c r="U47" s="78"/>
      <c r="V47"/>
      <c r="W47" s="78"/>
      <c r="X47" s="78"/>
      <c r="Y47" s="78"/>
      <c r="Z47" s="78"/>
    </row>
    <row r="56" spans="2:2">
      <c r="B56"/>
    </row>
  </sheetData>
  <mergeCells count="48">
    <mergeCell ref="V1:V3"/>
    <mergeCell ref="R2:T3"/>
    <mergeCell ref="N2:N3"/>
    <mergeCell ref="O2:O3"/>
    <mergeCell ref="P2:P3"/>
    <mergeCell ref="Q2:Q3"/>
    <mergeCell ref="U2:U3"/>
    <mergeCell ref="D2:D3"/>
    <mergeCell ref="J2:J3"/>
    <mergeCell ref="K2:K3"/>
    <mergeCell ref="L2:L3"/>
    <mergeCell ref="M2:M3"/>
    <mergeCell ref="C25:C30"/>
    <mergeCell ref="C31:C34"/>
    <mergeCell ref="C35:C37"/>
    <mergeCell ref="C38:C39"/>
    <mergeCell ref="C40:C41"/>
    <mergeCell ref="A2:A3"/>
    <mergeCell ref="A4:A24"/>
    <mergeCell ref="A25:A41"/>
    <mergeCell ref="B2:B3"/>
    <mergeCell ref="B4:B24"/>
    <mergeCell ref="B25:B41"/>
    <mergeCell ref="V43:W43"/>
    <mergeCell ref="B44:C44"/>
    <mergeCell ref="D44:E44"/>
    <mergeCell ref="F44:H44"/>
    <mergeCell ref="J44:L44"/>
    <mergeCell ref="M44:O44"/>
    <mergeCell ref="P44:R44"/>
    <mergeCell ref="S44:U44"/>
    <mergeCell ref="V44:W44"/>
    <mergeCell ref="E1:I1"/>
    <mergeCell ref="R1:T1"/>
    <mergeCell ref="E2:I2"/>
    <mergeCell ref="B43:C43"/>
    <mergeCell ref="D43:E43"/>
    <mergeCell ref="F43:G43"/>
    <mergeCell ref="J43:L43"/>
    <mergeCell ref="M43:O43"/>
    <mergeCell ref="P43:Q43"/>
    <mergeCell ref="S43:T43"/>
    <mergeCell ref="C2:C3"/>
    <mergeCell ref="C4:C9"/>
    <mergeCell ref="C10:C14"/>
    <mergeCell ref="C15:C18"/>
    <mergeCell ref="C19:C21"/>
    <mergeCell ref="C22:C24"/>
  </mergeCells>
  <pageMargins left="0.36" right="0.31" top="0.98425196850393704" bottom="0.98425196850393704" header="0.511811023622047" footer="0.511811023622047"/>
  <pageSetup paperSize="9" scale="5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34"/>
  <sheetViews>
    <sheetView topLeftCell="A4" zoomScale="70" zoomScaleNormal="70" workbookViewId="0">
      <selection activeCell="C16" sqref="C16:C21"/>
    </sheetView>
  </sheetViews>
  <sheetFormatPr baseColWidth="10" defaultColWidth="9" defaultRowHeight="14.6"/>
  <cols>
    <col min="1" max="1" width="18.765625" style="40" customWidth="1"/>
    <col min="2" max="2" width="13.84375" style="40" customWidth="1"/>
    <col min="3" max="3" width="12" style="40" customWidth="1"/>
    <col min="4" max="4" width="39.3046875" style="40" customWidth="1"/>
    <col min="5" max="9" width="6.4609375" style="40" customWidth="1"/>
    <col min="10" max="17" width="9" style="40"/>
    <col min="18" max="18" width="9" style="40" customWidth="1"/>
    <col min="19" max="21" width="9" style="40"/>
    <col min="22" max="22" width="13.4609375" style="40" customWidth="1"/>
    <col min="23" max="23" width="11.23046875" style="40" customWidth="1"/>
    <col min="24" max="16384" width="9" style="40"/>
  </cols>
  <sheetData>
    <row r="1" spans="1:22" ht="28.85" customHeight="1">
      <c r="A1" s="41" t="s">
        <v>62</v>
      </c>
      <c r="B1" s="41" t="s">
        <v>63</v>
      </c>
      <c r="C1" s="41" t="s">
        <v>64</v>
      </c>
      <c r="D1" s="41" t="s">
        <v>65</v>
      </c>
      <c r="E1" s="28" t="s">
        <v>66</v>
      </c>
      <c r="F1" s="24"/>
      <c r="G1" s="24"/>
      <c r="H1" s="24"/>
      <c r="I1" s="24"/>
      <c r="J1" s="41" t="s">
        <v>67</v>
      </c>
      <c r="K1" s="41" t="s">
        <v>68</v>
      </c>
      <c r="L1" s="41" t="s">
        <v>69</v>
      </c>
      <c r="M1" s="41" t="s">
        <v>70</v>
      </c>
      <c r="N1" s="41" t="s">
        <v>71</v>
      </c>
      <c r="O1" s="41" t="s">
        <v>72</v>
      </c>
      <c r="P1" s="41" t="s">
        <v>73</v>
      </c>
      <c r="Q1" s="41" t="s">
        <v>74</v>
      </c>
      <c r="R1" s="28" t="s">
        <v>75</v>
      </c>
      <c r="S1" s="24"/>
      <c r="T1" s="20"/>
      <c r="U1" s="41" t="s">
        <v>76</v>
      </c>
      <c r="V1" s="145" t="s">
        <v>77</v>
      </c>
    </row>
    <row r="2" spans="1:22" ht="22.1" customHeight="1">
      <c r="A2" s="27" t="s">
        <v>78</v>
      </c>
      <c r="B2" s="23" t="s">
        <v>21</v>
      </c>
      <c r="C2" s="19" t="s">
        <v>79</v>
      </c>
      <c r="D2" s="23" t="s">
        <v>80</v>
      </c>
      <c r="E2" s="16" t="s">
        <v>81</v>
      </c>
      <c r="F2" s="16"/>
      <c r="G2" s="16"/>
      <c r="H2" s="16"/>
      <c r="I2" s="16"/>
      <c r="J2" s="33" t="s">
        <v>82</v>
      </c>
      <c r="K2" s="25" t="s">
        <v>83</v>
      </c>
      <c r="L2" s="17" t="s">
        <v>26</v>
      </c>
      <c r="M2" s="17" t="s">
        <v>25</v>
      </c>
      <c r="N2" s="23" t="s">
        <v>84</v>
      </c>
      <c r="O2" s="27" t="s">
        <v>85</v>
      </c>
      <c r="P2" s="17" t="s">
        <v>86</v>
      </c>
      <c r="Q2" s="17" t="s">
        <v>87</v>
      </c>
      <c r="R2" s="17" t="s">
        <v>88</v>
      </c>
      <c r="S2" s="17"/>
      <c r="T2" s="17"/>
      <c r="U2" s="143" t="s">
        <v>89</v>
      </c>
      <c r="V2" s="146"/>
    </row>
    <row r="3" spans="1:22" ht="22.1" customHeight="1">
      <c r="A3" s="23"/>
      <c r="B3" s="34"/>
      <c r="C3" s="38"/>
      <c r="D3" s="37"/>
      <c r="E3" s="48" t="s">
        <v>110</v>
      </c>
      <c r="F3" s="48" t="s">
        <v>91</v>
      </c>
      <c r="G3" s="48" t="s">
        <v>92</v>
      </c>
      <c r="H3" s="48" t="s">
        <v>111</v>
      </c>
      <c r="I3" s="48" t="s">
        <v>112</v>
      </c>
      <c r="J3" s="29"/>
      <c r="K3" s="21"/>
      <c r="L3" s="17"/>
      <c r="M3" s="17"/>
      <c r="N3" s="142"/>
      <c r="O3" s="27"/>
      <c r="P3" s="27"/>
      <c r="Q3" s="27"/>
      <c r="R3" s="17"/>
      <c r="S3" s="17"/>
      <c r="T3" s="17"/>
      <c r="U3" s="144"/>
      <c r="V3" s="146"/>
    </row>
    <row r="4" spans="1:22" ht="18.899999999999999" customHeight="1">
      <c r="A4" s="30" t="s">
        <v>49</v>
      </c>
      <c r="B4" s="30" t="s">
        <v>32</v>
      </c>
      <c r="C4" s="149" t="s">
        <v>50</v>
      </c>
      <c r="D4" s="49" t="s">
        <v>125</v>
      </c>
      <c r="E4" s="50">
        <v>2</v>
      </c>
      <c r="F4" s="50">
        <v>3</v>
      </c>
      <c r="G4" s="50">
        <v>3</v>
      </c>
      <c r="H4" s="50">
        <v>3</v>
      </c>
      <c r="I4" s="50">
        <v>2</v>
      </c>
      <c r="J4" s="46">
        <f>SUM(E4:I4)</f>
        <v>13</v>
      </c>
      <c r="K4" s="52">
        <v>27</v>
      </c>
      <c r="L4" s="45">
        <f>J4+J5+J8+J6+J7+J9</f>
        <v>38</v>
      </c>
      <c r="M4" s="45">
        <f>L4*K4</f>
        <v>1026</v>
      </c>
      <c r="N4" s="53">
        <v>27</v>
      </c>
      <c r="O4" s="53">
        <f t="shared" ref="O4" si="0">N4-2</f>
        <v>25</v>
      </c>
      <c r="P4" s="54">
        <f>K4*N4</f>
        <v>729</v>
      </c>
      <c r="Q4" s="54">
        <f>K4*O4</f>
        <v>675</v>
      </c>
      <c r="R4" s="55">
        <v>65</v>
      </c>
      <c r="S4" s="55">
        <v>54</v>
      </c>
      <c r="T4" s="55">
        <v>68</v>
      </c>
      <c r="U4" s="56">
        <f>T4*S4*R4*K4/1000000</f>
        <v>6.4443599999999996</v>
      </c>
      <c r="V4" s="44"/>
    </row>
    <row r="5" spans="1:22" ht="18.899999999999999" customHeight="1">
      <c r="A5" s="26"/>
      <c r="B5" s="26"/>
      <c r="C5" s="149"/>
      <c r="D5" s="49" t="s">
        <v>126</v>
      </c>
      <c r="E5" s="50">
        <v>1</v>
      </c>
      <c r="F5" s="50">
        <v>1</v>
      </c>
      <c r="G5" s="50">
        <v>1</v>
      </c>
      <c r="H5" s="50">
        <v>1</v>
      </c>
      <c r="I5" s="50">
        <v>1</v>
      </c>
      <c r="J5" s="46">
        <f>SUM(E5:I5)</f>
        <v>5</v>
      </c>
      <c r="K5" s="57"/>
      <c r="L5" s="58"/>
      <c r="M5" s="58"/>
      <c r="N5" s="58"/>
      <c r="O5" s="58"/>
      <c r="P5" s="58"/>
      <c r="Q5" s="58"/>
      <c r="R5" s="58"/>
      <c r="S5" s="58"/>
      <c r="T5" s="58"/>
      <c r="U5" s="58"/>
      <c r="V5" s="59"/>
    </row>
    <row r="6" spans="1:22" ht="18.899999999999999" customHeight="1">
      <c r="A6" s="26"/>
      <c r="B6" s="26"/>
      <c r="C6" s="149"/>
      <c r="D6" s="81" t="s">
        <v>127</v>
      </c>
      <c r="E6" s="50">
        <v>1</v>
      </c>
      <c r="F6" s="50">
        <v>1</v>
      </c>
      <c r="G6" s="50">
        <v>1</v>
      </c>
      <c r="H6" s="50">
        <v>1</v>
      </c>
      <c r="I6" s="50">
        <v>1</v>
      </c>
      <c r="J6" s="46">
        <f t="shared" ref="J6" si="1">SUM(E6:I6)</f>
        <v>5</v>
      </c>
      <c r="K6" s="60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22" ht="18.899999999999999" customHeight="1">
      <c r="A7" s="26"/>
      <c r="B7" s="26"/>
      <c r="C7" s="149"/>
      <c r="D7" s="81" t="s">
        <v>128</v>
      </c>
      <c r="E7" s="50">
        <v>1</v>
      </c>
      <c r="F7" s="50">
        <v>1</v>
      </c>
      <c r="G7" s="50">
        <v>1</v>
      </c>
      <c r="H7" s="50">
        <v>1</v>
      </c>
      <c r="I7" s="50">
        <v>1</v>
      </c>
      <c r="J7" s="46">
        <f t="shared" ref="J7:J8" si="2">SUM(E7:I7)</f>
        <v>5</v>
      </c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2"/>
    </row>
    <row r="8" spans="1:22" ht="18.899999999999999" customHeight="1">
      <c r="A8" s="26"/>
      <c r="B8" s="26"/>
      <c r="C8" s="149"/>
      <c r="D8" s="81" t="s">
        <v>129</v>
      </c>
      <c r="E8" s="50">
        <v>1</v>
      </c>
      <c r="F8" s="50">
        <v>1</v>
      </c>
      <c r="G8" s="50">
        <v>1</v>
      </c>
      <c r="H8" s="50">
        <v>1</v>
      </c>
      <c r="I8" s="50">
        <v>1</v>
      </c>
      <c r="J8" s="46">
        <f t="shared" si="2"/>
        <v>5</v>
      </c>
      <c r="K8" s="60"/>
      <c r="L8" s="61"/>
      <c r="M8" s="61"/>
      <c r="N8" s="61"/>
      <c r="O8" s="61"/>
      <c r="P8" s="61"/>
      <c r="Q8" s="61"/>
      <c r="R8" s="61"/>
      <c r="S8" s="61"/>
      <c r="T8" s="61"/>
      <c r="U8" s="61"/>
      <c r="V8" s="62"/>
    </row>
    <row r="9" spans="1:22" ht="18.899999999999999" customHeight="1">
      <c r="A9" s="26"/>
      <c r="B9" s="26"/>
      <c r="C9" s="149"/>
      <c r="D9" s="81" t="s">
        <v>130</v>
      </c>
      <c r="E9" s="50">
        <v>1</v>
      </c>
      <c r="F9" s="50">
        <v>1</v>
      </c>
      <c r="G9" s="50">
        <v>1</v>
      </c>
      <c r="H9" s="50">
        <v>1</v>
      </c>
      <c r="I9" s="50">
        <v>1</v>
      </c>
      <c r="J9" s="46">
        <f t="shared" ref="J9:J15" si="3">E9+F9+G9+H9+I9</f>
        <v>5</v>
      </c>
      <c r="K9" s="60"/>
      <c r="L9" s="61"/>
      <c r="M9" s="61"/>
      <c r="N9" s="61"/>
      <c r="O9" s="61"/>
      <c r="P9" s="61"/>
      <c r="Q9" s="61"/>
      <c r="R9" s="61"/>
      <c r="S9" s="61"/>
      <c r="T9" s="61"/>
      <c r="U9" s="61"/>
      <c r="V9" s="62"/>
    </row>
    <row r="10" spans="1:22" ht="18.899999999999999" customHeight="1">
      <c r="A10" s="26"/>
      <c r="B10" s="26"/>
      <c r="C10" s="18" t="s">
        <v>51</v>
      </c>
      <c r="D10" s="49" t="s">
        <v>125</v>
      </c>
      <c r="E10" s="50">
        <v>2</v>
      </c>
      <c r="F10" s="50">
        <v>3</v>
      </c>
      <c r="G10" s="50">
        <v>3</v>
      </c>
      <c r="H10" s="50">
        <v>3</v>
      </c>
      <c r="I10" s="50">
        <v>2</v>
      </c>
      <c r="J10" s="46">
        <f t="shared" si="3"/>
        <v>13</v>
      </c>
      <c r="K10" s="52">
        <v>1</v>
      </c>
      <c r="L10" s="47">
        <f>J10+J11+J12+J13+J14+J15</f>
        <v>35</v>
      </c>
      <c r="M10" s="47">
        <f>L10*K10</f>
        <v>35</v>
      </c>
      <c r="N10" s="53">
        <v>27</v>
      </c>
      <c r="O10" s="53">
        <f t="shared" ref="O10" si="4">N10-2</f>
        <v>25</v>
      </c>
      <c r="P10" s="54">
        <f>K10*N10</f>
        <v>27</v>
      </c>
      <c r="Q10" s="54">
        <f>K10*O10</f>
        <v>25</v>
      </c>
      <c r="R10" s="63">
        <v>65</v>
      </c>
      <c r="S10" s="63">
        <v>54</v>
      </c>
      <c r="T10" s="63">
        <v>68</v>
      </c>
      <c r="U10" s="64">
        <f>T10*S10*R10*K10/1000000</f>
        <v>0.23868</v>
      </c>
      <c r="V10" s="43"/>
    </row>
    <row r="11" spans="1:22" ht="18.899999999999999" customHeight="1">
      <c r="A11" s="26"/>
      <c r="B11" s="26"/>
      <c r="C11" s="18"/>
      <c r="D11" s="49" t="s">
        <v>126</v>
      </c>
      <c r="E11" s="50">
        <v>1</v>
      </c>
      <c r="F11" s="50">
        <v>1</v>
      </c>
      <c r="G11" s="50">
        <v>1</v>
      </c>
      <c r="H11" s="50">
        <v>1</v>
      </c>
      <c r="I11" s="50">
        <v>1</v>
      </c>
      <c r="J11" s="46">
        <f t="shared" si="3"/>
        <v>5</v>
      </c>
      <c r="K11" s="60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2"/>
    </row>
    <row r="12" spans="1:22" ht="18.899999999999999" customHeight="1">
      <c r="A12" s="26"/>
      <c r="B12" s="26"/>
      <c r="C12" s="18"/>
      <c r="D12" s="81" t="s">
        <v>127</v>
      </c>
      <c r="E12" s="50">
        <v>1</v>
      </c>
      <c r="F12" s="50">
        <v>1</v>
      </c>
      <c r="G12" s="50">
        <v>1</v>
      </c>
      <c r="H12" s="50">
        <v>1</v>
      </c>
      <c r="I12" s="50">
        <v>1</v>
      </c>
      <c r="J12" s="46">
        <f t="shared" si="3"/>
        <v>5</v>
      </c>
      <c r="K12" s="60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2"/>
    </row>
    <row r="13" spans="1:22" ht="18.899999999999999" customHeight="1">
      <c r="A13" s="26"/>
      <c r="B13" s="26"/>
      <c r="C13" s="18"/>
      <c r="D13" s="81" t="s">
        <v>128</v>
      </c>
      <c r="E13" s="50">
        <v>1</v>
      </c>
      <c r="F13" s="50">
        <v>1</v>
      </c>
      <c r="G13" s="50">
        <v>1</v>
      </c>
      <c r="H13" s="50">
        <v>1</v>
      </c>
      <c r="I13" s="50">
        <v>1</v>
      </c>
      <c r="J13" s="46">
        <f t="shared" si="3"/>
        <v>5</v>
      </c>
      <c r="K13" s="60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2"/>
    </row>
    <row r="14" spans="1:22" ht="18.899999999999999" customHeight="1">
      <c r="A14" s="26"/>
      <c r="B14" s="26"/>
      <c r="C14" s="18"/>
      <c r="D14" s="81" t="s">
        <v>129</v>
      </c>
      <c r="E14" s="50">
        <v>1</v>
      </c>
      <c r="F14" s="50">
        <v>1</v>
      </c>
      <c r="G14" s="50">
        <v>1</v>
      </c>
      <c r="H14" s="50">
        <v>1</v>
      </c>
      <c r="I14" s="50"/>
      <c r="J14" s="46">
        <f t="shared" si="3"/>
        <v>4</v>
      </c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2"/>
    </row>
    <row r="15" spans="1:22" ht="18.899999999999999" customHeight="1">
      <c r="A15" s="26"/>
      <c r="B15" s="26"/>
      <c r="C15" s="18"/>
      <c r="D15" s="81" t="s">
        <v>130</v>
      </c>
      <c r="E15" s="50">
        <v>1</v>
      </c>
      <c r="F15" s="50"/>
      <c r="G15" s="50">
        <v>1</v>
      </c>
      <c r="H15" s="50"/>
      <c r="I15" s="50">
        <v>1</v>
      </c>
      <c r="J15" s="46">
        <f t="shared" si="3"/>
        <v>3</v>
      </c>
      <c r="K15" s="82"/>
      <c r="L15" s="61"/>
      <c r="M15" s="61"/>
      <c r="N15" s="83"/>
      <c r="O15" s="83"/>
      <c r="P15" s="83"/>
      <c r="Q15" s="83"/>
      <c r="R15" s="61"/>
      <c r="S15" s="61"/>
      <c r="T15" s="61"/>
      <c r="U15" s="61"/>
      <c r="V15" s="62"/>
    </row>
    <row r="16" spans="1:22" ht="18.899999999999999" customHeight="1">
      <c r="A16" s="30" t="s">
        <v>52</v>
      </c>
      <c r="B16" s="30" t="s">
        <v>32</v>
      </c>
      <c r="C16" s="22" t="s">
        <v>53</v>
      </c>
      <c r="D16" s="49" t="s">
        <v>125</v>
      </c>
      <c r="E16" s="50">
        <v>2</v>
      </c>
      <c r="F16" s="50">
        <v>3</v>
      </c>
      <c r="G16" s="50">
        <v>3</v>
      </c>
      <c r="H16" s="50">
        <v>3</v>
      </c>
      <c r="I16" s="50">
        <v>2</v>
      </c>
      <c r="J16" s="46">
        <f>SUM(E16:I16)</f>
        <v>13</v>
      </c>
      <c r="K16" s="52">
        <v>28</v>
      </c>
      <c r="L16" s="45">
        <f>J16+J17+J20+J18+J19+J21</f>
        <v>38</v>
      </c>
      <c r="M16" s="45">
        <f>L16*K16</f>
        <v>1064</v>
      </c>
      <c r="N16" s="53">
        <v>27</v>
      </c>
      <c r="O16" s="53">
        <f t="shared" ref="O16" si="5">N16-2</f>
        <v>25</v>
      </c>
      <c r="P16" s="54">
        <f>K16*N16</f>
        <v>756</v>
      </c>
      <c r="Q16" s="54">
        <f>K16*O16</f>
        <v>700</v>
      </c>
      <c r="R16" s="55">
        <v>65</v>
      </c>
      <c r="S16" s="55">
        <v>54</v>
      </c>
      <c r="T16" s="55">
        <v>68</v>
      </c>
      <c r="U16" s="56">
        <f>T16*S16*R16*K16/1000000</f>
        <v>6.6830400000000001</v>
      </c>
      <c r="V16" s="44"/>
    </row>
    <row r="17" spans="1:26" ht="18.899999999999999" customHeight="1">
      <c r="A17" s="26"/>
      <c r="B17" s="26"/>
      <c r="C17" s="18"/>
      <c r="D17" s="84" t="s">
        <v>131</v>
      </c>
      <c r="E17" s="50">
        <v>1</v>
      </c>
      <c r="F17" s="50">
        <v>1</v>
      </c>
      <c r="G17" s="50">
        <v>1</v>
      </c>
      <c r="H17" s="50">
        <v>1</v>
      </c>
      <c r="I17" s="50">
        <v>1</v>
      </c>
      <c r="J17" s="46">
        <f t="shared" ref="J17:J20" si="6">SUM(E17:I17)</f>
        <v>5</v>
      </c>
      <c r="K17" s="57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9"/>
    </row>
    <row r="18" spans="1:26" ht="18.899999999999999" customHeight="1">
      <c r="A18" s="26"/>
      <c r="B18" s="26"/>
      <c r="C18" s="18"/>
      <c r="D18" s="49" t="s">
        <v>127</v>
      </c>
      <c r="E18" s="50">
        <v>1</v>
      </c>
      <c r="F18" s="50">
        <v>1</v>
      </c>
      <c r="G18" s="50">
        <v>1</v>
      </c>
      <c r="H18" s="50">
        <v>1</v>
      </c>
      <c r="I18" s="50">
        <v>1</v>
      </c>
      <c r="J18" s="46">
        <f t="shared" si="6"/>
        <v>5</v>
      </c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2"/>
    </row>
    <row r="19" spans="1:26" ht="18.899999999999999" customHeight="1">
      <c r="A19" s="26"/>
      <c r="B19" s="26"/>
      <c r="C19" s="18"/>
      <c r="D19" s="49" t="s">
        <v>132</v>
      </c>
      <c r="E19" s="50">
        <v>1</v>
      </c>
      <c r="F19" s="50">
        <v>1</v>
      </c>
      <c r="G19" s="50">
        <v>1</v>
      </c>
      <c r="H19" s="50">
        <v>1</v>
      </c>
      <c r="I19" s="50">
        <v>1</v>
      </c>
      <c r="J19" s="46">
        <f t="shared" si="6"/>
        <v>5</v>
      </c>
      <c r="K19" s="60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2"/>
    </row>
    <row r="20" spans="1:26" ht="18.899999999999999" customHeight="1">
      <c r="A20" s="26"/>
      <c r="B20" s="26"/>
      <c r="C20" s="18"/>
      <c r="D20" s="49" t="s">
        <v>133</v>
      </c>
      <c r="E20" s="50">
        <v>1</v>
      </c>
      <c r="F20" s="50">
        <v>1</v>
      </c>
      <c r="G20" s="50">
        <v>1</v>
      </c>
      <c r="H20" s="50">
        <v>1</v>
      </c>
      <c r="I20" s="50">
        <v>1</v>
      </c>
      <c r="J20" s="46">
        <f t="shared" si="6"/>
        <v>5</v>
      </c>
      <c r="K20" s="82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5"/>
    </row>
    <row r="21" spans="1:26" ht="18.899999999999999" customHeight="1">
      <c r="A21" s="147"/>
      <c r="B21" s="147"/>
      <c r="C21" s="148"/>
      <c r="D21" s="49" t="s">
        <v>130</v>
      </c>
      <c r="E21" s="50">
        <v>1</v>
      </c>
      <c r="F21" s="50">
        <v>1</v>
      </c>
      <c r="G21" s="50">
        <v>1</v>
      </c>
      <c r="H21" s="50">
        <v>1</v>
      </c>
      <c r="I21" s="50">
        <v>1</v>
      </c>
      <c r="J21" s="46">
        <f>E21+F21+G21+H21+I21</f>
        <v>5</v>
      </c>
      <c r="K21" s="82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5"/>
    </row>
    <row r="22" spans="1:26" ht="18.899999999999999" customHeight="1">
      <c r="A22" s="65" t="s">
        <v>99</v>
      </c>
      <c r="B22" s="66"/>
      <c r="C22" s="65"/>
      <c r="D22" s="67"/>
      <c r="E22" s="67"/>
      <c r="F22" s="67"/>
      <c r="G22" s="67"/>
      <c r="H22" s="66"/>
      <c r="I22" s="66"/>
      <c r="J22" s="68"/>
      <c r="K22" s="68">
        <f>SUM(K4:K20)</f>
        <v>56</v>
      </c>
      <c r="L22" s="68"/>
      <c r="M22" s="68">
        <f>SUM(M4:M20)</f>
        <v>2125</v>
      </c>
      <c r="N22" s="68"/>
      <c r="O22" s="68"/>
      <c r="P22" s="68">
        <f>SUM(P4:P20)</f>
        <v>1512</v>
      </c>
      <c r="Q22" s="68">
        <f>SUM(Q4:Q20)</f>
        <v>1400</v>
      </c>
      <c r="R22" s="68"/>
      <c r="S22" s="69"/>
      <c r="T22" s="69"/>
      <c r="U22" s="70">
        <f>SUM(U4:U20)</f>
        <v>13.36608</v>
      </c>
      <c r="V22" s="68"/>
    </row>
    <row r="23" spans="1:26" ht="17.600000000000001" customHeight="1">
      <c r="A23" s="71"/>
      <c r="B23" s="7"/>
      <c r="C23" s="7"/>
      <c r="D23" s="7"/>
      <c r="E23" s="7"/>
      <c r="F23" s="12"/>
      <c r="G23" s="12"/>
      <c r="H23" s="72"/>
      <c r="I23" s="72"/>
      <c r="J23" s="11"/>
      <c r="K23" s="11"/>
      <c r="L23" s="11"/>
      <c r="M23" s="11"/>
      <c r="N23" s="11"/>
      <c r="O23" s="11"/>
      <c r="P23" s="11"/>
      <c r="Q23" s="11"/>
      <c r="R23" s="73"/>
      <c r="S23" s="10"/>
      <c r="T23" s="10"/>
      <c r="U23" s="73"/>
      <c r="V23" s="10"/>
      <c r="W23" s="10"/>
      <c r="X23" s="74"/>
      <c r="Y23" s="74"/>
      <c r="Z23" s="74"/>
    </row>
    <row r="24" spans="1:26" ht="18" customHeight="1">
      <c r="A24" s="71" t="s">
        <v>100</v>
      </c>
      <c r="B24" s="39" t="s">
        <v>101</v>
      </c>
      <c r="C24" s="39"/>
      <c r="D24" s="150" t="s">
        <v>102</v>
      </c>
      <c r="E24" s="150"/>
      <c r="F24" s="151" t="s">
        <v>103</v>
      </c>
      <c r="G24" s="151"/>
      <c r="H24" s="151"/>
      <c r="I24" s="72"/>
      <c r="J24" s="31" t="s">
        <v>104</v>
      </c>
      <c r="K24" s="31"/>
      <c r="L24" s="31"/>
      <c r="M24" s="31" t="s">
        <v>105</v>
      </c>
      <c r="N24" s="31"/>
      <c r="O24" s="31"/>
      <c r="P24" s="31" t="s">
        <v>106</v>
      </c>
      <c r="Q24" s="31"/>
      <c r="R24" s="31"/>
      <c r="S24" s="10" t="s">
        <v>107</v>
      </c>
      <c r="T24" s="10"/>
      <c r="U24" s="10"/>
      <c r="V24" s="10" t="s">
        <v>108</v>
      </c>
      <c r="W24" s="10"/>
      <c r="X24" s="74"/>
      <c r="Y24" s="74" t="s">
        <v>109</v>
      </c>
      <c r="Z24" s="74"/>
    </row>
    <row r="25" spans="1:26" ht="15">
      <c r="A25" s="76"/>
      <c r="B25" s="77"/>
      <c r="C25" s="77"/>
      <c r="D25" s="77"/>
      <c r="E25" s="77"/>
      <c r="F25" s="73"/>
      <c r="G25" s="73"/>
      <c r="H25" s="73"/>
      <c r="I25" s="73"/>
      <c r="J25" s="73"/>
      <c r="K25" s="78"/>
      <c r="L25" s="73"/>
      <c r="M25" s="73"/>
      <c r="N25" s="73"/>
      <c r="O25" s="73"/>
      <c r="P25" s="73"/>
      <c r="Q25" s="73"/>
      <c r="R25" s="73"/>
      <c r="S25" s="79"/>
      <c r="T25" s="78"/>
      <c r="U25" s="78"/>
      <c r="V25" s="78"/>
      <c r="W25" s="78"/>
      <c r="X25" s="78"/>
      <c r="Y25" s="78"/>
      <c r="Z25" s="78"/>
    </row>
    <row r="26" spans="1:26" ht="15">
      <c r="A26"/>
      <c r="B26" s="77"/>
      <c r="C26"/>
      <c r="D26"/>
      <c r="E26" s="77"/>
      <c r="F26" s="73"/>
      <c r="G26" s="73"/>
      <c r="H26" s="73"/>
      <c r="I26" s="73"/>
      <c r="J26" s="73"/>
      <c r="K26" s="78"/>
      <c r="L26" s="73"/>
      <c r="M26" s="73"/>
      <c r="N26" s="73"/>
      <c r="O26" s="73"/>
      <c r="P26" s="73"/>
      <c r="Q26" s="73"/>
      <c r="R26" s="73"/>
      <c r="S26" s="79"/>
      <c r="T26" s="78"/>
      <c r="U26" s="78"/>
      <c r="V26" s="78"/>
      <c r="W26" s="78"/>
      <c r="X26" s="78"/>
      <c r="Y26" s="78"/>
      <c r="Z26" s="78"/>
    </row>
    <row r="27" spans="1:26" ht="15">
      <c r="A27"/>
      <c r="B27" s="77"/>
      <c r="C27" s="77"/>
      <c r="D27" s="77"/>
      <c r="E27" s="77"/>
      <c r="F27" s="73"/>
      <c r="G27" s="73"/>
      <c r="H27" s="73"/>
      <c r="I27" s="73"/>
      <c r="J27" s="73"/>
      <c r="K27" s="78"/>
      <c r="M27" s="73"/>
      <c r="N27" s="73"/>
      <c r="O27"/>
      <c r="P27" s="73"/>
      <c r="Q27"/>
      <c r="R27" s="73"/>
      <c r="S27" s="79"/>
      <c r="T27" s="78"/>
      <c r="U27" s="78"/>
      <c r="V27"/>
      <c r="W27" s="78"/>
      <c r="X27" s="78"/>
      <c r="Y27" s="78"/>
      <c r="Z27" s="78"/>
    </row>
    <row r="28" spans="1:26" ht="15">
      <c r="I28"/>
      <c r="M28" s="73"/>
      <c r="N28" s="73"/>
      <c r="O28"/>
    </row>
    <row r="29" spans="1:26" ht="15">
      <c r="M29" s="73"/>
      <c r="N29" s="73"/>
      <c r="O29" s="86"/>
    </row>
    <row r="32" spans="1:26">
      <c r="E32"/>
    </row>
    <row r="34" spans="2:2">
      <c r="B34"/>
    </row>
  </sheetData>
  <mergeCells count="41">
    <mergeCell ref="P2:P3"/>
    <mergeCell ref="Q2:Q3"/>
    <mergeCell ref="U2:U3"/>
    <mergeCell ref="V1:V3"/>
    <mergeCell ref="R2:T3"/>
    <mergeCell ref="K2:K3"/>
    <mergeCell ref="L2:L3"/>
    <mergeCell ref="M2:M3"/>
    <mergeCell ref="N2:N3"/>
    <mergeCell ref="O2:O3"/>
    <mergeCell ref="A2:A3"/>
    <mergeCell ref="A4:A15"/>
    <mergeCell ref="A16:A21"/>
    <mergeCell ref="B2:B3"/>
    <mergeCell ref="B4:B15"/>
    <mergeCell ref="B16:B21"/>
    <mergeCell ref="V23:W23"/>
    <mergeCell ref="B24:C24"/>
    <mergeCell ref="D24:E24"/>
    <mergeCell ref="F24:H24"/>
    <mergeCell ref="J24:L24"/>
    <mergeCell ref="M24:O24"/>
    <mergeCell ref="P24:R24"/>
    <mergeCell ref="S24:U24"/>
    <mergeCell ref="V24:W24"/>
    <mergeCell ref="E1:I1"/>
    <mergeCell ref="R1:T1"/>
    <mergeCell ref="E2:I2"/>
    <mergeCell ref="B23:C23"/>
    <mergeCell ref="D23:E23"/>
    <mergeCell ref="F23:G23"/>
    <mergeCell ref="J23:L23"/>
    <mergeCell ref="M23:O23"/>
    <mergeCell ref="P23:Q23"/>
    <mergeCell ref="S23:T23"/>
    <mergeCell ref="C2:C3"/>
    <mergeCell ref="C4:C9"/>
    <mergeCell ref="C10:C15"/>
    <mergeCell ref="C16:C21"/>
    <mergeCell ref="D2:D3"/>
    <mergeCell ref="J2:J3"/>
  </mergeCells>
  <pageMargins left="0.36" right="0.31" top="0.98425196850393704" bottom="0.98425196850393704" header="0.511811023622047" footer="0.511811023622047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27"/>
  <sheetViews>
    <sheetView tabSelected="1" topLeftCell="A7" zoomScale="70" zoomScaleNormal="70" workbookViewId="0">
      <selection activeCell="C16" sqref="C16:C21"/>
    </sheetView>
  </sheetViews>
  <sheetFormatPr baseColWidth="10" defaultColWidth="9" defaultRowHeight="14.6"/>
  <cols>
    <col min="1" max="1" width="18.765625" style="40" customWidth="1"/>
    <col min="2" max="2" width="13.84375" style="40" customWidth="1"/>
    <col min="3" max="3" width="12" style="40" customWidth="1"/>
    <col min="4" max="4" width="33.765625" style="40" customWidth="1"/>
    <col min="5" max="9" width="6.4609375" style="40" customWidth="1"/>
    <col min="10" max="17" width="9" style="40"/>
    <col min="18" max="18" width="9" style="40" customWidth="1"/>
    <col min="19" max="21" width="9" style="40"/>
    <col min="22" max="22" width="13.4609375" style="40" customWidth="1"/>
    <col min="23" max="23" width="11.23046875" style="40" customWidth="1"/>
    <col min="24" max="16384" width="9" style="40"/>
  </cols>
  <sheetData>
    <row r="1" spans="1:22" ht="28.85" customHeight="1">
      <c r="A1" s="41" t="s">
        <v>62</v>
      </c>
      <c r="B1" s="41" t="s">
        <v>63</v>
      </c>
      <c r="C1" s="41" t="s">
        <v>64</v>
      </c>
      <c r="D1" s="41" t="s">
        <v>65</v>
      </c>
      <c r="E1" s="28" t="s">
        <v>66</v>
      </c>
      <c r="F1" s="24"/>
      <c r="G1" s="24"/>
      <c r="H1" s="24"/>
      <c r="I1" s="24"/>
      <c r="J1" s="41" t="s">
        <v>67</v>
      </c>
      <c r="K1" s="41" t="s">
        <v>68</v>
      </c>
      <c r="L1" s="41" t="s">
        <v>69</v>
      </c>
      <c r="M1" s="41" t="s">
        <v>70</v>
      </c>
      <c r="N1" s="41" t="s">
        <v>71</v>
      </c>
      <c r="O1" s="41" t="s">
        <v>72</v>
      </c>
      <c r="P1" s="41" t="s">
        <v>73</v>
      </c>
      <c r="Q1" s="41" t="s">
        <v>74</v>
      </c>
      <c r="R1" s="28" t="s">
        <v>75</v>
      </c>
      <c r="S1" s="24"/>
      <c r="T1" s="20"/>
      <c r="U1" s="41" t="s">
        <v>76</v>
      </c>
      <c r="V1" s="145" t="s">
        <v>77</v>
      </c>
    </row>
    <row r="2" spans="1:22" ht="22.1" customHeight="1">
      <c r="A2" s="27" t="s">
        <v>78</v>
      </c>
      <c r="B2" s="23" t="s">
        <v>21</v>
      </c>
      <c r="C2" s="19" t="s">
        <v>79</v>
      </c>
      <c r="D2" s="23" t="s">
        <v>80</v>
      </c>
      <c r="E2" s="16" t="s">
        <v>81</v>
      </c>
      <c r="F2" s="16"/>
      <c r="G2" s="16"/>
      <c r="H2" s="16"/>
      <c r="I2" s="16"/>
      <c r="J2" s="33" t="s">
        <v>82</v>
      </c>
      <c r="K2" s="25" t="s">
        <v>83</v>
      </c>
      <c r="L2" s="17" t="s">
        <v>26</v>
      </c>
      <c r="M2" s="17" t="s">
        <v>25</v>
      </c>
      <c r="N2" s="23" t="s">
        <v>84</v>
      </c>
      <c r="O2" s="27" t="s">
        <v>85</v>
      </c>
      <c r="P2" s="17" t="s">
        <v>86</v>
      </c>
      <c r="Q2" s="17" t="s">
        <v>87</v>
      </c>
      <c r="R2" s="17" t="s">
        <v>88</v>
      </c>
      <c r="S2" s="17"/>
      <c r="T2" s="17"/>
      <c r="U2" s="143" t="s">
        <v>89</v>
      </c>
      <c r="V2" s="146"/>
    </row>
    <row r="3" spans="1:22" ht="22.1" customHeight="1">
      <c r="A3" s="23"/>
      <c r="B3" s="34"/>
      <c r="C3" s="38"/>
      <c r="D3" s="37"/>
      <c r="E3" s="48">
        <v>8</v>
      </c>
      <c r="F3" s="48">
        <v>10</v>
      </c>
      <c r="G3" s="48">
        <v>12</v>
      </c>
      <c r="H3" s="48">
        <v>14</v>
      </c>
      <c r="I3" s="48">
        <v>16</v>
      </c>
      <c r="J3" s="29"/>
      <c r="K3" s="21"/>
      <c r="L3" s="17"/>
      <c r="M3" s="17"/>
      <c r="N3" s="142"/>
      <c r="O3" s="27"/>
      <c r="P3" s="27"/>
      <c r="Q3" s="27"/>
      <c r="R3" s="17"/>
      <c r="S3" s="17"/>
      <c r="T3" s="17"/>
      <c r="U3" s="144"/>
      <c r="V3" s="146"/>
    </row>
    <row r="4" spans="1:22" ht="18.899999999999999" customHeight="1">
      <c r="A4" s="30" t="s">
        <v>55</v>
      </c>
      <c r="B4" s="30" t="s">
        <v>32</v>
      </c>
      <c r="C4" s="22" t="s">
        <v>56</v>
      </c>
      <c r="D4" s="49" t="s">
        <v>96</v>
      </c>
      <c r="E4" s="50">
        <v>2</v>
      </c>
      <c r="F4" s="50">
        <v>2</v>
      </c>
      <c r="G4" s="50">
        <v>2</v>
      </c>
      <c r="H4" s="51">
        <v>2</v>
      </c>
      <c r="I4" s="50">
        <v>2</v>
      </c>
      <c r="J4" s="46">
        <f>SUM(E4:I4)</f>
        <v>10</v>
      </c>
      <c r="K4" s="52">
        <v>17</v>
      </c>
      <c r="L4" s="45">
        <f>J4+J5+J8+J6+J7+J9</f>
        <v>35</v>
      </c>
      <c r="M4" s="45">
        <f>L4*K4</f>
        <v>595</v>
      </c>
      <c r="N4" s="53">
        <v>22.4</v>
      </c>
      <c r="O4" s="53">
        <f t="shared" ref="O4" si="0">N4-2</f>
        <v>20.399999999999999</v>
      </c>
      <c r="P4" s="54">
        <f>K4*N4</f>
        <v>380.8</v>
      </c>
      <c r="Q4" s="54">
        <f>K4*O4</f>
        <v>346.8</v>
      </c>
      <c r="R4" s="55">
        <v>58</v>
      </c>
      <c r="S4" s="55">
        <v>50</v>
      </c>
      <c r="T4" s="55">
        <v>80</v>
      </c>
      <c r="U4" s="56">
        <f>T4*S4*R4*K4/1000000</f>
        <v>3.944</v>
      </c>
      <c r="V4" s="44"/>
    </row>
    <row r="5" spans="1:22" ht="18.899999999999999" customHeight="1">
      <c r="A5" s="26"/>
      <c r="B5" s="26"/>
      <c r="C5" s="18"/>
      <c r="D5" s="49" t="s">
        <v>113</v>
      </c>
      <c r="E5" s="50">
        <v>1</v>
      </c>
      <c r="F5" s="50">
        <v>1</v>
      </c>
      <c r="G5" s="50">
        <v>1</v>
      </c>
      <c r="H5" s="51">
        <v>1</v>
      </c>
      <c r="I5" s="50">
        <v>1</v>
      </c>
      <c r="J5" s="46">
        <f t="shared" ref="J5:J10" si="1">SUM(E5:I5)</f>
        <v>5</v>
      </c>
      <c r="K5" s="57"/>
      <c r="L5" s="58"/>
      <c r="M5" s="58"/>
      <c r="N5" s="58"/>
      <c r="O5" s="58"/>
      <c r="P5" s="58"/>
      <c r="Q5" s="58"/>
      <c r="R5" s="58"/>
      <c r="S5" s="58"/>
      <c r="T5" s="58"/>
      <c r="U5" s="58"/>
      <c r="V5" s="59"/>
    </row>
    <row r="6" spans="1:22" ht="18.899999999999999" customHeight="1">
      <c r="A6" s="26"/>
      <c r="B6" s="26"/>
      <c r="C6" s="18"/>
      <c r="D6" s="49" t="s">
        <v>134</v>
      </c>
      <c r="E6" s="50">
        <v>1</v>
      </c>
      <c r="F6" s="50">
        <v>1</v>
      </c>
      <c r="G6" s="50">
        <v>1</v>
      </c>
      <c r="H6" s="51">
        <v>1</v>
      </c>
      <c r="I6" s="50">
        <v>1</v>
      </c>
      <c r="J6" s="46">
        <f t="shared" si="1"/>
        <v>5</v>
      </c>
      <c r="K6" s="60"/>
      <c r="L6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22" ht="18.899999999999999" customHeight="1">
      <c r="A7" s="26"/>
      <c r="B7" s="26"/>
      <c r="C7" s="18"/>
      <c r="D7" s="49" t="s">
        <v>115</v>
      </c>
      <c r="E7" s="50">
        <v>1</v>
      </c>
      <c r="F7" s="50">
        <v>1</v>
      </c>
      <c r="G7" s="50">
        <v>1</v>
      </c>
      <c r="H7" s="51">
        <v>1</v>
      </c>
      <c r="I7" s="50">
        <v>1</v>
      </c>
      <c r="J7" s="46">
        <f t="shared" si="1"/>
        <v>5</v>
      </c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2"/>
    </row>
    <row r="8" spans="1:22" ht="18.899999999999999" customHeight="1">
      <c r="A8" s="26"/>
      <c r="B8" s="26"/>
      <c r="C8" s="18"/>
      <c r="D8" s="49" t="s">
        <v>135</v>
      </c>
      <c r="E8" s="50">
        <v>1</v>
      </c>
      <c r="F8" s="50">
        <v>1</v>
      </c>
      <c r="G8" s="50">
        <v>1</v>
      </c>
      <c r="H8" s="51">
        <v>1</v>
      </c>
      <c r="I8" s="50">
        <v>1</v>
      </c>
      <c r="J8" s="46">
        <f t="shared" si="1"/>
        <v>5</v>
      </c>
      <c r="K8" s="60"/>
      <c r="L8" s="61"/>
      <c r="M8" s="61"/>
      <c r="N8" s="61"/>
      <c r="O8" s="61"/>
      <c r="P8" s="61"/>
      <c r="Q8" s="61"/>
      <c r="R8" s="61"/>
      <c r="S8" s="61"/>
      <c r="T8" s="61"/>
      <c r="U8" s="61"/>
      <c r="V8" s="62"/>
    </row>
    <row r="9" spans="1:22" ht="18.899999999999999" customHeight="1">
      <c r="A9" s="26"/>
      <c r="B9" s="26"/>
      <c r="C9" s="18"/>
      <c r="D9" s="49" t="s">
        <v>117</v>
      </c>
      <c r="E9" s="50">
        <v>1</v>
      </c>
      <c r="F9" s="50">
        <v>1</v>
      </c>
      <c r="G9" s="50">
        <v>1</v>
      </c>
      <c r="H9" s="50">
        <v>1</v>
      </c>
      <c r="I9" s="50">
        <v>1</v>
      </c>
      <c r="J9" s="46">
        <f t="shared" si="1"/>
        <v>5</v>
      </c>
      <c r="K9" s="60"/>
      <c r="L9" s="61"/>
      <c r="M9" s="61"/>
      <c r="N9" s="61"/>
      <c r="O9" s="61"/>
      <c r="P9" s="61"/>
      <c r="Q9" s="61"/>
      <c r="R9" s="61"/>
      <c r="S9" s="61"/>
      <c r="T9" s="61"/>
      <c r="U9" s="61"/>
      <c r="V9" s="62"/>
    </row>
    <row r="10" spans="1:22" ht="18.899999999999999" customHeight="1">
      <c r="A10" s="26"/>
      <c r="B10" s="26"/>
      <c r="C10" s="22" t="s">
        <v>58</v>
      </c>
      <c r="D10" s="49" t="s">
        <v>96</v>
      </c>
      <c r="E10" s="50">
        <v>2</v>
      </c>
      <c r="F10" s="50">
        <v>1</v>
      </c>
      <c r="G10" s="50">
        <v>2</v>
      </c>
      <c r="H10" s="51">
        <v>2</v>
      </c>
      <c r="I10" s="50">
        <v>2</v>
      </c>
      <c r="J10" s="46">
        <f t="shared" si="1"/>
        <v>9</v>
      </c>
      <c r="K10" s="52">
        <v>1</v>
      </c>
      <c r="L10" s="45">
        <f>J10+J11+J14+J12+J13+J15</f>
        <v>31</v>
      </c>
      <c r="M10" s="45">
        <f>L10*K10</f>
        <v>31</v>
      </c>
      <c r="N10" s="53">
        <v>22.4</v>
      </c>
      <c r="O10" s="53">
        <f t="shared" ref="O10" si="2">N10-2</f>
        <v>20.399999999999999</v>
      </c>
      <c r="P10" s="54">
        <f>K10*N10</f>
        <v>22.4</v>
      </c>
      <c r="Q10" s="54">
        <f>K10*O10</f>
        <v>20.399999999999999</v>
      </c>
      <c r="R10" s="55">
        <v>58</v>
      </c>
      <c r="S10" s="55">
        <v>50</v>
      </c>
      <c r="T10" s="55">
        <v>80</v>
      </c>
      <c r="U10" s="56">
        <f>T10*S10*R10*K10/1000000</f>
        <v>0.23200000000000001</v>
      </c>
      <c r="V10" s="44"/>
    </row>
    <row r="11" spans="1:22" ht="18.899999999999999" customHeight="1">
      <c r="A11" s="26"/>
      <c r="B11" s="26"/>
      <c r="C11" s="18"/>
      <c r="D11" s="49" t="s">
        <v>113</v>
      </c>
      <c r="E11" s="50"/>
      <c r="F11" s="50">
        <v>1</v>
      </c>
      <c r="G11" s="50">
        <v>1</v>
      </c>
      <c r="H11" s="51"/>
      <c r="I11" s="50">
        <v>1</v>
      </c>
      <c r="J11" s="46">
        <f t="shared" ref="J11:J21" si="3">SUM(E11:I11)</f>
        <v>3</v>
      </c>
      <c r="K11" s="57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9"/>
    </row>
    <row r="12" spans="1:22" ht="18.899999999999999" customHeight="1">
      <c r="A12" s="26"/>
      <c r="B12" s="26"/>
      <c r="C12" s="18"/>
      <c r="D12" s="49" t="s">
        <v>134</v>
      </c>
      <c r="E12" s="50">
        <v>1</v>
      </c>
      <c r="F12" s="50">
        <v>1</v>
      </c>
      <c r="G12" s="50">
        <v>1</v>
      </c>
      <c r="H12" s="51">
        <v>1</v>
      </c>
      <c r="I12" s="50">
        <v>1</v>
      </c>
      <c r="J12" s="46">
        <f t="shared" si="3"/>
        <v>5</v>
      </c>
      <c r="K12" s="60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2"/>
    </row>
    <row r="13" spans="1:22" ht="18.899999999999999" customHeight="1">
      <c r="A13" s="26"/>
      <c r="B13" s="26"/>
      <c r="C13" s="18"/>
      <c r="D13" s="49" t="s">
        <v>115</v>
      </c>
      <c r="E13" s="50">
        <v>1</v>
      </c>
      <c r="F13" s="50">
        <v>1</v>
      </c>
      <c r="G13" s="50">
        <v>1</v>
      </c>
      <c r="H13" s="51">
        <v>1</v>
      </c>
      <c r="I13" s="50">
        <v>1</v>
      </c>
      <c r="J13" s="46">
        <f t="shared" si="3"/>
        <v>5</v>
      </c>
      <c r="K13" s="60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2"/>
    </row>
    <row r="14" spans="1:22" ht="18.899999999999999" customHeight="1">
      <c r="A14" s="26"/>
      <c r="B14" s="26"/>
      <c r="C14" s="18"/>
      <c r="D14" s="49" t="s">
        <v>135</v>
      </c>
      <c r="E14" s="50">
        <v>1</v>
      </c>
      <c r="F14" s="50">
        <v>1</v>
      </c>
      <c r="G14" s="50">
        <v>1</v>
      </c>
      <c r="H14" s="51">
        <v>1</v>
      </c>
      <c r="I14" s="50">
        <v>1</v>
      </c>
      <c r="J14" s="46">
        <f t="shared" si="3"/>
        <v>5</v>
      </c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2"/>
    </row>
    <row r="15" spans="1:22" ht="18.899999999999999" customHeight="1">
      <c r="A15" s="147"/>
      <c r="B15" s="26"/>
      <c r="C15" s="18"/>
      <c r="D15" s="49" t="s">
        <v>117</v>
      </c>
      <c r="E15" s="50">
        <v>1</v>
      </c>
      <c r="F15" s="50">
        <v>1</v>
      </c>
      <c r="G15" s="50">
        <v>1</v>
      </c>
      <c r="H15" s="50"/>
      <c r="I15" s="50">
        <v>1</v>
      </c>
      <c r="J15" s="46">
        <f t="shared" si="3"/>
        <v>4</v>
      </c>
      <c r="K15" s="60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2"/>
    </row>
    <row r="16" spans="1:22" ht="18.899999999999999" customHeight="1">
      <c r="A16" s="30" t="s">
        <v>59</v>
      </c>
      <c r="B16" s="26"/>
      <c r="C16" s="149" t="s">
        <v>60</v>
      </c>
      <c r="D16" s="49" t="s">
        <v>96</v>
      </c>
      <c r="E16" s="50">
        <v>2</v>
      </c>
      <c r="F16" s="50">
        <v>2</v>
      </c>
      <c r="G16" s="50">
        <v>2</v>
      </c>
      <c r="H16" s="51">
        <v>2</v>
      </c>
      <c r="I16" s="50">
        <v>2</v>
      </c>
      <c r="J16" s="46">
        <f t="shared" si="3"/>
        <v>10</v>
      </c>
      <c r="K16" s="52">
        <v>18</v>
      </c>
      <c r="L16" s="47">
        <f>J16+J17+J20+J18+J19+J21</f>
        <v>35</v>
      </c>
      <c r="M16" s="47">
        <f>L16*K16</f>
        <v>630</v>
      </c>
      <c r="N16" s="53">
        <v>22.4</v>
      </c>
      <c r="O16" s="53">
        <f t="shared" ref="O16" si="4">N16-2</f>
        <v>20.399999999999999</v>
      </c>
      <c r="P16" s="54">
        <f>K16*N16</f>
        <v>403.2</v>
      </c>
      <c r="Q16" s="54">
        <f>K16*O16</f>
        <v>367.2</v>
      </c>
      <c r="R16" s="63">
        <v>58</v>
      </c>
      <c r="S16" s="63">
        <v>50</v>
      </c>
      <c r="T16" s="63">
        <v>80</v>
      </c>
      <c r="U16" s="64">
        <f>T16*S16*R16*K16/1000000</f>
        <v>4.1760000000000002</v>
      </c>
      <c r="V16" s="43"/>
    </row>
    <row r="17" spans="1:26" ht="18.899999999999999" customHeight="1">
      <c r="A17" s="38"/>
      <c r="B17" s="26"/>
      <c r="C17" s="149"/>
      <c r="D17" s="49" t="s">
        <v>122</v>
      </c>
      <c r="E17" s="50">
        <v>1</v>
      </c>
      <c r="F17" s="50">
        <v>1</v>
      </c>
      <c r="G17" s="50">
        <v>1</v>
      </c>
      <c r="H17" s="51">
        <v>1</v>
      </c>
      <c r="I17" s="50">
        <v>1</v>
      </c>
      <c r="J17" s="46">
        <f t="shared" si="3"/>
        <v>5</v>
      </c>
      <c r="K17" s="60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2"/>
    </row>
    <row r="18" spans="1:26" ht="18.899999999999999" customHeight="1">
      <c r="A18" s="38"/>
      <c r="B18" s="26"/>
      <c r="C18" s="149"/>
      <c r="D18" s="49" t="s">
        <v>114</v>
      </c>
      <c r="E18" s="50">
        <v>1</v>
      </c>
      <c r="F18" s="50">
        <v>1</v>
      </c>
      <c r="G18" s="50">
        <v>1</v>
      </c>
      <c r="H18" s="51">
        <v>1</v>
      </c>
      <c r="I18" s="50">
        <v>1</v>
      </c>
      <c r="J18" s="46">
        <f t="shared" si="3"/>
        <v>5</v>
      </c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2"/>
    </row>
    <row r="19" spans="1:26" ht="18.899999999999999" customHeight="1">
      <c r="A19" s="38"/>
      <c r="B19" s="26"/>
      <c r="C19" s="149"/>
      <c r="D19" s="49" t="s">
        <v>136</v>
      </c>
      <c r="E19" s="50">
        <v>1</v>
      </c>
      <c r="F19" s="50">
        <v>1</v>
      </c>
      <c r="G19" s="50">
        <v>1</v>
      </c>
      <c r="H19" s="51">
        <v>1</v>
      </c>
      <c r="I19" s="50">
        <v>1</v>
      </c>
      <c r="J19" s="46">
        <f t="shared" si="3"/>
        <v>5</v>
      </c>
      <c r="K19" s="60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2"/>
    </row>
    <row r="20" spans="1:26" ht="18.899999999999999" customHeight="1">
      <c r="A20" s="38"/>
      <c r="B20" s="26"/>
      <c r="C20" s="149"/>
      <c r="D20" s="49" t="s">
        <v>135</v>
      </c>
      <c r="E20" s="50">
        <v>1</v>
      </c>
      <c r="F20" s="50">
        <v>1</v>
      </c>
      <c r="G20" s="50">
        <v>1</v>
      </c>
      <c r="H20" s="51">
        <v>1</v>
      </c>
      <c r="I20" s="50">
        <v>1</v>
      </c>
      <c r="J20" s="46">
        <f t="shared" si="3"/>
        <v>5</v>
      </c>
      <c r="K20" s="60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2"/>
    </row>
    <row r="21" spans="1:26" ht="18.899999999999999" customHeight="1">
      <c r="A21" s="38"/>
      <c r="B21" s="26"/>
      <c r="C21" s="149"/>
      <c r="D21" s="49" t="s">
        <v>113</v>
      </c>
      <c r="E21" s="50">
        <v>1</v>
      </c>
      <c r="F21" s="50">
        <v>1</v>
      </c>
      <c r="G21" s="50">
        <v>1</v>
      </c>
      <c r="H21" s="50">
        <v>1</v>
      </c>
      <c r="I21" s="50">
        <v>1</v>
      </c>
      <c r="J21" s="46">
        <f t="shared" si="3"/>
        <v>5</v>
      </c>
      <c r="K21" s="60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2"/>
    </row>
    <row r="22" spans="1:26" ht="18.899999999999999" customHeight="1">
      <c r="A22" s="65" t="s">
        <v>99</v>
      </c>
      <c r="B22" s="66"/>
      <c r="C22" s="65"/>
      <c r="D22" s="67"/>
      <c r="E22" s="67"/>
      <c r="F22" s="67"/>
      <c r="G22" s="67"/>
      <c r="H22" s="66"/>
      <c r="I22" s="66"/>
      <c r="J22" s="68"/>
      <c r="K22" s="68">
        <f>SUM(K4:K21)</f>
        <v>36</v>
      </c>
      <c r="L22" s="68"/>
      <c r="M22" s="68">
        <f>SUM(M4:M21)</f>
        <v>1256</v>
      </c>
      <c r="N22" s="68"/>
      <c r="O22" s="68"/>
      <c r="P22" s="68">
        <f>SUM(P4:P21)</f>
        <v>806.4</v>
      </c>
      <c r="Q22" s="68">
        <f>SUM(Q4:Q21)</f>
        <v>734.4</v>
      </c>
      <c r="R22" s="68"/>
      <c r="S22" s="69"/>
      <c r="T22" s="69"/>
      <c r="U22" s="70">
        <f>SUM(U4:U21)</f>
        <v>8.3520000000000003</v>
      </c>
      <c r="V22" s="68"/>
    </row>
    <row r="23" spans="1:26" ht="17.600000000000001" customHeight="1">
      <c r="A23" s="71"/>
      <c r="B23" s="7"/>
      <c r="C23" s="7"/>
      <c r="D23" s="7"/>
      <c r="E23" s="7"/>
      <c r="F23" s="12"/>
      <c r="G23" s="12"/>
      <c r="H23" s="72"/>
      <c r="I23" s="72"/>
      <c r="J23" s="11"/>
      <c r="K23" s="11"/>
      <c r="L23" s="11"/>
      <c r="M23" s="11"/>
      <c r="N23" s="11"/>
      <c r="O23" s="11"/>
      <c r="P23" s="11"/>
      <c r="Q23" s="11"/>
      <c r="R23" s="73"/>
      <c r="S23" s="10"/>
      <c r="T23" s="10"/>
      <c r="U23" s="73"/>
      <c r="V23" s="10"/>
      <c r="W23" s="10"/>
      <c r="X23" s="74"/>
      <c r="Y23" s="74"/>
      <c r="Z23" s="74"/>
    </row>
    <row r="24" spans="1:26" ht="18" customHeight="1">
      <c r="A24" s="71" t="s">
        <v>100</v>
      </c>
      <c r="B24" s="39" t="s">
        <v>101</v>
      </c>
      <c r="C24" s="39"/>
      <c r="D24" s="39" t="s">
        <v>102</v>
      </c>
      <c r="E24" s="39"/>
      <c r="F24" s="35" t="s">
        <v>103</v>
      </c>
      <c r="G24" s="35"/>
      <c r="H24" s="35"/>
      <c r="I24" s="72"/>
      <c r="J24" s="31" t="s">
        <v>104</v>
      </c>
      <c r="K24" s="31"/>
      <c r="L24" s="31"/>
      <c r="M24" s="31" t="s">
        <v>105</v>
      </c>
      <c r="N24" s="31"/>
      <c r="O24" s="31"/>
      <c r="P24" s="31" t="s">
        <v>106</v>
      </c>
      <c r="Q24" s="31"/>
      <c r="R24" s="31"/>
      <c r="S24" s="10" t="s">
        <v>107</v>
      </c>
      <c r="T24" s="10"/>
      <c r="U24" s="10"/>
      <c r="V24" s="10" t="s">
        <v>108</v>
      </c>
      <c r="W24" s="10"/>
      <c r="X24" s="74"/>
      <c r="Y24" s="74" t="s">
        <v>109</v>
      </c>
      <c r="Z24" s="74"/>
    </row>
    <row r="25" spans="1:26" ht="15">
      <c r="A25" s="76"/>
      <c r="B25" s="77"/>
      <c r="C25" s="77"/>
      <c r="D25" s="77"/>
      <c r="E25" s="77"/>
      <c r="F25" s="73"/>
      <c r="G25" s="73"/>
      <c r="H25" s="73"/>
      <c r="I25" s="73"/>
      <c r="J25" s="73"/>
      <c r="K25" s="78"/>
      <c r="L25" s="73"/>
      <c r="M25" s="73"/>
      <c r="N25" s="73"/>
      <c r="O25" s="73"/>
      <c r="P25" s="73"/>
      <c r="Q25" s="73"/>
      <c r="R25" s="73"/>
      <c r="S25" s="79"/>
      <c r="T25" s="78"/>
      <c r="U25" s="78"/>
      <c r="V25" s="78"/>
      <c r="W25" s="78"/>
      <c r="X25" s="78"/>
      <c r="Y25" s="78"/>
      <c r="Z25" s="78"/>
    </row>
    <row r="26" spans="1:26" ht="15">
      <c r="A26"/>
      <c r="B26" s="77"/>
      <c r="C26"/>
      <c r="D26" s="77"/>
      <c r="E26" s="77"/>
      <c r="F26" s="73"/>
      <c r="G26" s="73"/>
      <c r="H26" s="73"/>
      <c r="I26" s="73"/>
      <c r="J26" s="73"/>
      <c r="K26" s="78"/>
      <c r="L26" s="73"/>
      <c r="M26" s="73"/>
      <c r="N26" s="73"/>
      <c r="O26" s="73"/>
      <c r="P26" s="73"/>
      <c r="Q26" s="73"/>
      <c r="R26" s="73"/>
      <c r="S26" s="79"/>
      <c r="T26" s="78"/>
      <c r="U26" s="78"/>
      <c r="V26" s="78"/>
      <c r="W26" s="78"/>
      <c r="X26" s="78"/>
      <c r="Y26" s="78"/>
      <c r="Z26" s="78"/>
    </row>
    <row r="27" spans="1:26" ht="15">
      <c r="A27" s="80"/>
      <c r="B27" s="77"/>
      <c r="C27" s="77"/>
      <c r="D27" s="77"/>
      <c r="E27" s="77"/>
      <c r="F27" s="73"/>
      <c r="G27" s="73"/>
      <c r="H27" s="73"/>
      <c r="I27" s="73"/>
      <c r="J27" s="73"/>
      <c r="K27" s="78"/>
      <c r="L27" s="73"/>
      <c r="M27" s="73"/>
      <c r="N27" s="73"/>
      <c r="O27" s="73"/>
      <c r="P27" s="73"/>
      <c r="Q27"/>
      <c r="R27" s="73"/>
      <c r="S27" s="79"/>
      <c r="T27" s="78"/>
      <c r="U27" s="78"/>
      <c r="V27"/>
      <c r="W27" s="78"/>
      <c r="X27" s="78"/>
      <c r="Y27" s="78"/>
      <c r="Z27" s="78"/>
    </row>
  </sheetData>
  <mergeCells count="40">
    <mergeCell ref="P2:P3"/>
    <mergeCell ref="Q2:Q3"/>
    <mergeCell ref="U2:U3"/>
    <mergeCell ref="V1:V3"/>
    <mergeCell ref="R2:T3"/>
    <mergeCell ref="K2:K3"/>
    <mergeCell ref="L2:L3"/>
    <mergeCell ref="M2:M3"/>
    <mergeCell ref="N2:N3"/>
    <mergeCell ref="O2:O3"/>
    <mergeCell ref="A2:A3"/>
    <mergeCell ref="A4:A15"/>
    <mergeCell ref="A16:A21"/>
    <mergeCell ref="B2:B3"/>
    <mergeCell ref="B4:B21"/>
    <mergeCell ref="V23:W23"/>
    <mergeCell ref="B24:C24"/>
    <mergeCell ref="D24:E24"/>
    <mergeCell ref="F24:H24"/>
    <mergeCell ref="J24:L24"/>
    <mergeCell ref="M24:O24"/>
    <mergeCell ref="P24:R24"/>
    <mergeCell ref="S24:U24"/>
    <mergeCell ref="V24:W24"/>
    <mergeCell ref="E1:I1"/>
    <mergeCell ref="R1:T1"/>
    <mergeCell ref="E2:I2"/>
    <mergeCell ref="B23:C23"/>
    <mergeCell ref="D23:E23"/>
    <mergeCell ref="F23:G23"/>
    <mergeCell ref="J23:L23"/>
    <mergeCell ref="M23:O23"/>
    <mergeCell ref="P23:Q23"/>
    <mergeCell ref="S23:T23"/>
    <mergeCell ref="C2:C3"/>
    <mergeCell ref="C4:C9"/>
    <mergeCell ref="C10:C15"/>
    <mergeCell ref="C16:C21"/>
    <mergeCell ref="D2:D3"/>
    <mergeCell ref="J2:J3"/>
  </mergeCells>
  <pageMargins left="0.36" right="0.31" top="0.98425196850393704" bottom="0.98425196850393704" header="0.511811023622047" footer="0.511811023622047"/>
  <pageSetup paperSize="9" scale="5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装箱单</vt:lpstr>
      <vt:lpstr>JA26-01HSD</vt:lpstr>
      <vt:lpstr>JA25-01USD</vt:lpstr>
      <vt:lpstr>JA25-03USD</vt:lpstr>
      <vt:lpstr>JA25-05ISD</vt:lpstr>
      <vt:lpstr>装箱单!Área_de_impresión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Hunab Cuenta</cp:lastModifiedBy>
  <cp:lastPrinted>2025-01-23T20:46:00Z</cp:lastPrinted>
  <dcterms:created xsi:type="dcterms:W3CDTF">2022-01-12T04:51:00Z</dcterms:created>
  <dcterms:modified xsi:type="dcterms:W3CDTF">2026-10-05T17:42:49Z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3170405841D54376BB45576F47EE79D3</vt:lpwstr>
  </property>
  <property fmtid="{D5CDD505-2E9C-101B-9397-08002B2CF9AE}" pid="3" name="KSOProductBuildVer">
    <vt:lpwstr>2052-12.1.3.28048</vt:lpwstr>
  </property>
  <property fmtid="{D5CDD505-2E9C-101B-9397-08002B2CF9AE}" pid="4" name="CalculationRule">
    <vt:i4>0</vt:i4>
  </property>
</Properties>
</file>